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f19947d01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bc76a5ec57b4dc4"/>
    <x:sheet xmlns:r="http://schemas.openxmlformats.org/officeDocument/2006/relationships" name="Silica" sheetId="2" r:id="R3c1f1414ebbd40ca"/>
    <x:sheet xmlns:r="http://schemas.openxmlformats.org/officeDocument/2006/relationships" name="Monthly silica" sheetId="3" r:id="R13b6e9cd0a6c41fc"/>
    <x:sheet xmlns:r="http://schemas.openxmlformats.org/officeDocument/2006/relationships" name="Washing" sheetId="4" r:id="Rf6c5dbe94f71434d"/>
    <x:sheet xmlns:r="http://schemas.openxmlformats.org/officeDocument/2006/relationships" name="Bypass" sheetId="5" r:id="Rc7feb3ed91a7412f"/>
    <x:sheet xmlns:r="http://schemas.openxmlformats.org/officeDocument/2006/relationships" name="Bark" sheetId="6" r:id="Rc707a3ab14724f40"/>
    <x:sheet xmlns:r="http://schemas.openxmlformats.org/officeDocument/2006/relationships" name="Screening flow" sheetId="7" r:id="R1f03fd73019246c8"/>
    <x:sheet xmlns:r="http://schemas.openxmlformats.org/officeDocument/2006/relationships" name="Screening operation" sheetId="8" r:id="Re9aff0071981462b"/>
    <x:sheet xmlns:r="http://schemas.openxmlformats.org/officeDocument/2006/relationships" name="pH" sheetId="9" r:id="Rdabc88cfd7fb4f62"/>
    <x:sheet xmlns:r="http://schemas.openxmlformats.org/officeDocument/2006/relationships" name="OV reject" sheetId="10" r:id="Rbb917a6d9d1b448a"/>
    <x:sheet xmlns:r="http://schemas.openxmlformats.org/officeDocument/2006/relationships" name="Headbox pH" sheetId="11" r:id="R392583e0a506492d"/>
    <x:sheet xmlns:r="http://schemas.openxmlformats.org/officeDocument/2006/relationships" name="TF PD1 Old" sheetId="12" r:id="R872d7856bfac4307"/>
    <x:sheet xmlns:r="http://schemas.openxmlformats.org/officeDocument/2006/relationships" name="TF PD1 New" sheetId="13" r:id="R24cb5a149d1a47b2"/>
    <x:sheet xmlns:r="http://schemas.openxmlformats.org/officeDocument/2006/relationships" name="TF PD2 Old" sheetId="14" r:id="R0fe869a53da74216"/>
    <x:sheet xmlns:r="http://schemas.openxmlformats.org/officeDocument/2006/relationships" name="TF PD2 New" sheetId="15" r:id="R06e08c00b747451f"/>
    <x:sheet xmlns:r="http://schemas.openxmlformats.org/officeDocument/2006/relationships" name="TF PD3 L1" sheetId="16" r:id="R79dea57d797240b3"/>
    <x:sheet xmlns:r="http://schemas.openxmlformats.org/officeDocument/2006/relationships" name="TF PD3 L2" sheetId="17" r:id="R022bf998a4244d51"/>
    <x:sheet xmlns:r="http://schemas.openxmlformats.org/officeDocument/2006/relationships" name="TF PD3 L3" sheetId="18" r:id="Ra2dc4bf6b6ac4d50"/>
    <x:sheet xmlns:r="http://schemas.openxmlformats.org/officeDocument/2006/relationships" name="Monthly bark" sheetId="19" r:id="R4328f0625cbe4ed0"/>
    <x:sheet xmlns:r="http://schemas.openxmlformats.org/officeDocument/2006/relationships" name="Actions" sheetId="20" r:id="Ra118016cb8434c87"/>
    <x:sheet xmlns:r="http://schemas.openxmlformats.org/officeDocument/2006/relationships" name="Limits" sheetId="21" r:id="Rcb54b5bd28a8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"/>
  </x:numFmts>
  <x:fonts count="5">
    <x:font>
      <x:sz val="11"/>
      <x:name val="Carlito"/>
    </x:font>
    <x:font>
      <x:sz val="11"/>
      <x:color rgb="FF203B58"/>
      <x:name val="Arial"/>
    </x:font>
    <x:font>
      <x:b/>
      <x:sz val="16"/>
      <x:color rgb="FF103864"/>
      <x:name val="Arial"/>
    </x:font>
    <x:font>
      <x:b/>
      <x:sz val="11"/>
      <x:color rgb="FFFFFFFF"/>
      <x:name val="Arial"/>
    </x:font>
    <x:font>
      <x:b/>
      <x:sz val="11"/>
      <x:color rgb="FF203B5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3864"/>
      </x:patternFill>
    </x:fill>
    <x:fill>
      <x:patternFill patternType="solid">
        <x:fgColor rgb="FFFFF0C7"/>
      </x:patternFill>
    </x:fill>
    <x:fill>
      <x:patternFill patternType="solid">
        <x:fgColor rgb="FFEEF4FB"/>
      </x:patternFill>
    </x:fill>
    <x:fill>
      <x:patternFill patternType="solid">
        <x:fgColor rgb="FF245D96"/>
      </x:patternFill>
    </x:fill>
    <x:fill>
      <x:patternFill patternType="solid">
        <x:fgColor rgb="FF628F3D"/>
      </x:patternFill>
    </x:fill>
    <x:fill>
      <x:patternFill patternType="solid">
        <x:fgColor rgb="FFC77124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3"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AE2C26"/>
      </x:font>
      <x:fill>
        <x:patternFill patternType="solid">
          <x:bgColor rgb="FFFDE2DF"/>
        </x:patternFill>
      </x:fill>
    </x:dxf>
    <x:dxf>
      <x:font>
        <x:color rgb="FF9C4F20"/>
      </x:font>
      <x:fill>
        <x:patternFill patternType="solid">
          <x:bgColor rgb="FFFDE7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deb46c6204426" /><Relationship Type="http://schemas.openxmlformats.org/officeDocument/2006/relationships/theme" Target="/xl/theme/theme1.xml" Id="R4368b6157f3c4d7d" /><Relationship Type="http://schemas.openxmlformats.org/officeDocument/2006/relationships/sharedStrings" Target="/xl/sharedStrings.xml" Id="R271c991f83f24009" /><Relationship Type="http://schemas.openxmlformats.org/officeDocument/2006/relationships/worksheet" Target="/xl/worksheets/sheet1.xml" Id="Rabc76a5ec57b4dc4" /><Relationship Type="http://schemas.openxmlformats.org/officeDocument/2006/relationships/worksheet" Target="/xl/worksheets/sheet2.xml" Id="R3c1f1414ebbd40ca" /><Relationship Type="http://schemas.openxmlformats.org/officeDocument/2006/relationships/worksheet" Target="/xl/worksheets/sheet3.xml" Id="R13b6e9cd0a6c41fc" /><Relationship Type="http://schemas.openxmlformats.org/officeDocument/2006/relationships/worksheet" Target="/xl/worksheets/sheet4.xml" Id="Rf6c5dbe94f71434d" /><Relationship Type="http://schemas.openxmlformats.org/officeDocument/2006/relationships/worksheet" Target="/xl/worksheets/sheet5.xml" Id="Rc7feb3ed91a7412f" /><Relationship Type="http://schemas.openxmlformats.org/officeDocument/2006/relationships/worksheet" Target="/xl/worksheets/sheet6.xml" Id="Rc707a3ab14724f40" /><Relationship Type="http://schemas.openxmlformats.org/officeDocument/2006/relationships/worksheet" Target="/xl/worksheets/sheet7.xml" Id="R1f03fd73019246c8" /><Relationship Type="http://schemas.openxmlformats.org/officeDocument/2006/relationships/worksheet" Target="/xl/worksheets/sheet8.xml" Id="Re9aff0071981462b" /><Relationship Type="http://schemas.openxmlformats.org/officeDocument/2006/relationships/worksheet" Target="/xl/worksheets/sheet9.xml" Id="Rdabc88cfd7fb4f62" /><Relationship Type="http://schemas.openxmlformats.org/officeDocument/2006/relationships/worksheet" Target="/xl/worksheets/sheet10.xml" Id="Rbb917a6d9d1b448a" /><Relationship Type="http://schemas.openxmlformats.org/officeDocument/2006/relationships/worksheet" Target="/xl/worksheets/sheet11.xml" Id="R392583e0a506492d" /><Relationship Type="http://schemas.openxmlformats.org/officeDocument/2006/relationships/worksheet" Target="/xl/worksheets/sheet12.xml" Id="R872d7856bfac4307" /><Relationship Type="http://schemas.openxmlformats.org/officeDocument/2006/relationships/worksheet" Target="/xl/worksheets/sheet13.xml" Id="R24cb5a149d1a47b2" /><Relationship Type="http://schemas.openxmlformats.org/officeDocument/2006/relationships/worksheet" Target="/xl/worksheets/sheet14.xml" Id="R0fe869a53da74216" /><Relationship Type="http://schemas.openxmlformats.org/officeDocument/2006/relationships/worksheet" Target="/xl/worksheets/sheet15.xml" Id="R06e08c00b747451f" /><Relationship Type="http://schemas.openxmlformats.org/officeDocument/2006/relationships/worksheet" Target="/xl/worksheets/sheet16.xml" Id="R79dea57d797240b3" /><Relationship Type="http://schemas.openxmlformats.org/officeDocument/2006/relationships/worksheet" Target="/xl/worksheets/sheet17.xml" Id="R022bf998a4244d51" /><Relationship Type="http://schemas.openxmlformats.org/officeDocument/2006/relationships/worksheet" Target="/xl/worksheets/sheet18.xml" Id="Ra2dc4bf6b6ac4d50" /><Relationship Type="http://schemas.openxmlformats.org/officeDocument/2006/relationships/worksheet" Target="/xl/worksheets/sheet19.xml" Id="R4328f0625cbe4ed0" /><Relationship Type="http://schemas.openxmlformats.org/officeDocument/2006/relationships/worksheet" Target="/xl/worksheets/sheet20.xml" Id="Ra118016cb8434c87" /><Relationship Type="http://schemas.openxmlformats.org/officeDocument/2006/relationships/worksheet" Target="/xl/worksheets/sheet21.xml" Id="Rcb54b5bd28a844b9" /></Relationships>
</file>

<file path=xl/tables/table1.xml><?xml version="1.0" encoding="utf-8"?>
<x:table xmlns:x="http://schemas.openxmlformats.org/spreadsheetml/2006/main" id="1" name="Input1" displayName="Input1" ref="A1:S8" headerRowCount="1" totalsRowCount="0" totalsRowShown="0">
  <x:tableColumns count="19">
    <x:tableColumn id="1" name="Date"/>
    <x:tableColumn id="2" name="Silica after chipper · AE · Chp1 (ppm)"/>
    <x:tableColumn id="3" name="Silica Chip to FL1 · AE (ppm)"/>
    <x:tableColumn id="4" name="Silica Chip to FL2 · AE (ppm)"/>
    <x:tableColumn id="5" name="Silica Chip to FL2 · Lyocell (ppm)"/>
    <x:tableColumn id="6" name="Silica unbleached · FL1 (ppm)"/>
    <x:tableColumn id="7" name="Silica unbleached · FL2 (ppm)"/>
    <x:tableColumn id="8" name="Silica unbleached · FL2 Lyocell (ppm)"/>
    <x:tableColumn id="9" name="Silica pulp dryer · FL1 · AE (ppm)"/>
    <x:tableColumn id="10" name="Silica pulp dryer · FL2 · AE (ppm)"/>
    <x:tableColumn id="11" name="Silica pulp dryer · FL2 · Lyocell (ppm)"/>
    <x:tableColumn id="12" name="Silica after chipper · AE · Chp2 (ppm)"/>
    <x:tableColumn id="13" name="Silica after chipper · AE · Chp4 (ppm)"/>
    <x:tableColumn id="14" name="Silica after chipper · AE · F3 (Chp5) (ppm)"/>
    <x:tableColumn id="15" name="Silica after chipper · AE · SF3 (Chp6) (ppm)"/>
    <x:tableColumn id="16" name="Silica after chipper · AE · F4 (Chp7/8) (ppm)"/>
    <x:tableColumn id="17" name="Silica after chipper · AE · F6 (Chp9/10) (ppm)"/>
    <x:tableColumn id="18" name="Silica after chipper · AE · F6 (Chp11) (ppm)"/>
    <x:tableColumn id="19" name="Silica after chipper · AE · SF6 (Chp12) (ppm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2" displayName="Input2" ref="A1:S9" headerRowCount="1" totalsRowCount="0" totalsRowShown="0">
  <x:tableColumns count="19">
    <x:tableColumn id="1" name="Date"/>
    <x:tableColumn id="2" name="Silica after chipper · AE · Chp1 (ppm)"/>
    <x:tableColumn id="3" name="Silica Chip to FL1 · AE (ppm)"/>
    <x:tableColumn id="4" name="Silica Chip to FL2 · AE (ppm)"/>
    <x:tableColumn id="5" name="Silica Chip to FL2 · Lyocell (ppm)"/>
    <x:tableColumn id="6" name="Silica unbleached · FL1 (ppm)"/>
    <x:tableColumn id="7" name="Silica unbleached · FL2 (ppm)"/>
    <x:tableColumn id="8" name="Silica unbleached · FL2 Lyocell (ppm)"/>
    <x:tableColumn id="9" name="Silica pulp dryer · FL1 · AE (ppm)"/>
    <x:tableColumn id="10" name="Silica pulp dryer · FL2 · AE (ppm)"/>
    <x:tableColumn id="11" name="Silica pulp dryer · FL2 · Lyocell (ppm)"/>
    <x:tableColumn id="12" name="Silica after chipper · AE · Chp2 (ppm)"/>
    <x:tableColumn id="13" name="Silica after chipper · AE · Chp4 (ppm)"/>
    <x:tableColumn id="14" name="Silica after chipper · AE · F3 (Chp5) (ppm)"/>
    <x:tableColumn id="15" name="Silica after chipper · AE · SF3 (Chp6) (ppm)"/>
    <x:tableColumn id="16" name="Silica after chipper · AE · F4 (Chp7/8) (ppm)"/>
    <x:tableColumn id="17" name="Silica after chipper · AE · F6 (Chp9/10) (ppm)"/>
    <x:tableColumn id="18" name="Silica after chipper · AE · F6 (Chp11) (ppm)"/>
    <x:tableColumn id="19" name="Silica after chipper · AE · SF6 (Chp12) (ppm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3" displayName="Input3" ref="A1:H8" headerRowCount="1" totalsRowCount="0" totalsRowShown="0">
  <x:tableColumns count="8">
    <x:tableColumn id="1" name="Date"/>
    <x:tableColumn id="2" name="Log washing pressure · WY1/2 · P001 (bar)"/>
    <x:tableColumn id="3" name="Log washing pressure · WY1/2 · P002 (bar)"/>
    <x:tableColumn id="4" name="Log washing pressure · WY1/2 · P003 (bar)"/>
    <x:tableColumn id="5" name="Log washing pressure · WY3 (bar)"/>
    <x:tableColumn id="6" name="Log washing pressure · WY4 (bar)"/>
    <x:tableColumn id="7" name="Log washing pressure · WY5 (bar)"/>
    <x:tableColumn id="8" name="Log washing pressure · WY6 (bar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put4" displayName="Input4" ref="A1:I8" headerRowCount="1" totalsRowCount="0" totalsRowShown="0">
  <x:tableColumns count="9">
    <x:tableColumn id="1" name="Date"/>
    <x:tableColumn id="2" name="Chip screen / CTS bypass · FL1 · Inlet chip screen (%)"/>
    <x:tableColumn id="3" name="Chip screen / CTS bypass · FL1 · CTS 341C335 (%)"/>
    <x:tableColumn id="4" name="Chip screen / CTS bypass · FL1 · Master screen (%)"/>
    <x:tableColumn id="5" name="Chip screen / CTS bypass · FL1 · Fines screen (%)"/>
    <x:tableColumn id="6" name="Chip screen / CTS bypass · FL2 · Inlet chip screen (%)"/>
    <x:tableColumn id="7" name="Chip screen / CTS bypass · FL2 · CTS 341C501 (%)"/>
    <x:tableColumn id="8" name="Chip screen / CTS bypass · FL2 · Master screen (%)"/>
    <x:tableColumn id="9" name="Chip screen / CTS bypass · FL2 · Fines screen (%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put5" displayName="Input5" ref="A1:C8" headerRowCount="1" totalsRowCount="0" totalsRowShown="0">
  <x:tableColumns count="3">
    <x:tableColumn id="1" name="Date"/>
    <x:tableColumn id="2" name="Bark on chip · AE · Bark (%)"/>
    <x:tableColumn id="3" name="Bark on chip · Lyocell · Bark (%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put6" displayName="Input6" ref="A1:C8" headerRowCount="1" totalsRowCount="0" totalsRowShown="0">
  <x:tableColumns count="3">
    <x:tableColumn id="1" name="Date"/>
    <x:tableColumn id="2" name="Screening reject flow · FL1 quaternary screen · E032 (lps)"/>
    <x:tableColumn id="3" name="Screening reject flow · FL1 quaternary screen · E108 (lps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put7" displayName="Input7" ref="A1:G8" headerRowCount="1" totalsRowCount="0" totalsRowShown="0">
  <x:tableColumns count="7">
    <x:tableColumn id="1" name="Date"/>
    <x:tableColumn id="2" name="Screening operation · Primary screen junk traps · Online (%)"/>
    <x:tableColumn id="3" name="Screening operation · Primary screen junk traps · Available (%)"/>
    <x:tableColumn id="4" name="Screening operation · 2nd / 3rd / 4th trap system · Online (%)"/>
    <x:tableColumn id="5" name="Screening operation · 2nd / 3rd / 4th trap system · Available (%)"/>
    <x:tableColumn id="6" name="Screening operation · Cyclones 84–87 · Online (%)"/>
    <x:tableColumn id="7" name="Screening operation · Cyclones 84–87 · Available (%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put8" displayName="Input8" ref="A1:E8" headerRowCount="1" totalsRowCount="0" totalsRowShown="0">
  <x:tableColumns count="5">
    <x:tableColumn id="1" name="Date"/>
    <x:tableColumn id="2" name="Bleaching pH · FL1 D0 · Lab (pH)"/>
    <x:tableColumn id="3" name="Bleaching pH · FL1 D1 · Lab (pH)"/>
    <x:tableColumn id="4" name="Bleaching pH · FL1 D2 STP · Lab (pH)"/>
    <x:tableColumn id="5" name="Bleaching pH · FL1 D2 STP · Online (pH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put9" displayName="Input9" ref="A1:T8" headerRowCount="1" totalsRowCount="0" totalsRowShown="0">
  <x:tableColumns count="20">
    <x:tableColumn id="1" name="Date"/>
    <x:tableColumn id="2" name="OV reject · PD1 Old line · Stage 4 (%)"/>
    <x:tableColumn id="3" name="OV reject · PD1 Old line · Stage 5 (%)"/>
    <x:tableColumn id="4" name="OV reject · PD1 Old line · Stage 6 (%)"/>
    <x:tableColumn id="5" name="OV reject · PD1 New line · Stage 4 (%)"/>
    <x:tableColumn id="6" name="OV reject · PD1 New line · Stage 5 (%)"/>
    <x:tableColumn id="7" name="OV reject · PD1 New line · Stage 6 (%)"/>
    <x:tableColumn id="8" name="OV reject · PD2 Old line · Stage 4 (%)"/>
    <x:tableColumn id="9" name="OV reject · PD2 Old line · Stage 5 (%)"/>
    <x:tableColumn id="10" name="OV reject · PD2 Old line · Stage 6 (%)"/>
    <x:tableColumn id="11" name="OV reject · PD2 New line · Stage 4 (%)"/>
    <x:tableColumn id="12" name="OV reject · PD2 New line · Stage 5 (%)"/>
    <x:tableColumn id="13" name="OV reject · PD2 New line · Stage 6 (%)"/>
    <x:tableColumn id="14" name="OV reject · PD3 Line 1 · Stage 4 (%)"/>
    <x:tableColumn id="15" name="OV reject · PD3 Line 1 · Stage 5 (%)"/>
    <x:tableColumn id="16" name="OV reject · PD3 Line 1 · Stage 6 (%)"/>
    <x:tableColumn id="17" name="OV reject · PD3 Line 2 · Stage 4 (%)"/>
    <x:tableColumn id="18" name="OV reject · PD3 Line 2 · Stage 5 (%)"/>
    <x:tableColumn id="19" name="OV reject · PD3 Line 2 · Stage 6 (%)"/>
    <x:tableColumn id="20" name="OV reject · PD3 Line 3 · Stage 7 (%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put10" displayName="Input10" ref="A1:G8" headerRowCount="1" totalsRowCount="0" totalsRowShown="0">
  <x:tableColumns count="7">
    <x:tableColumn id="1" name="Date"/>
    <x:tableColumn id="2" name="Headbox pH · PD1 · SP (pH)"/>
    <x:tableColumn id="3" name="Headbox pH · PD1 · Act (pH)"/>
    <x:tableColumn id="4" name="Headbox pH · PD2 · SP (pH)"/>
    <x:tableColumn id="5" name="Headbox pH · PD2 · Act (pH)"/>
    <x:tableColumn id="6" name="Headbox pH · PD3 · SP (pH)"/>
    <x:tableColumn id="7" name="Headbox pH · PD3 · Act (pH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put11" displayName="Input11" ref="A1:M10" headerRowCount="1" totalsRowCount="0" totalsRowShown="0">
  <x:tableColumns count="13">
    <x:tableColumn id="1" name="Date"/>
    <x:tableColumn id="2" name="1st A"/>
    <x:tableColumn id="3" name="1st B"/>
    <x:tableColumn id="4" name="1st C"/>
    <x:tableColumn id="5" name="2nd A"/>
    <x:tableColumn id="6" name="2nd B"/>
    <x:tableColumn id="7" name="3rd"/>
    <x:tableColumn id="8" name="4th"/>
    <x:tableColumn id="9" name="5th"/>
    <x:tableColumn id="10" name="6th"/>
    <x:tableColumn id="11" name="Rev A"/>
    <x:tableColumn id="12" name="Rev B"/>
    <x:tableColumn id="13" name="Rev C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put12" displayName="Input12" ref="A1:N10" headerRowCount="1" totalsRowCount="0" totalsRowShown="0">
  <x:tableColumns count="14">
    <x:tableColumn id="1" name="Date"/>
    <x:tableColumn id="2" name="1st A"/>
    <x:tableColumn id="3" name="1st B"/>
    <x:tableColumn id="4" name="1st C"/>
    <x:tableColumn id="5" name="1st D"/>
    <x:tableColumn id="6" name="2nd"/>
    <x:tableColumn id="7" name="3rd"/>
    <x:tableColumn id="8" name="4th"/>
    <x:tableColumn id="9" name="5th"/>
    <x:tableColumn id="10" name="6th"/>
    <x:tableColumn id="11" name="Rev A"/>
    <x:tableColumn id="12" name="Rev B"/>
    <x:tableColumn id="13" name="Rev C"/>
    <x:tableColumn id="14" name="Rev 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put13" displayName="Input13" ref="A1:M10" headerRowCount="1" totalsRowCount="0" totalsRowShown="0">
  <x:tableColumns count="13">
    <x:tableColumn id="1" name="Date"/>
    <x:tableColumn id="2" name="1st A"/>
    <x:tableColumn id="3" name="1st B"/>
    <x:tableColumn id="4" name="1st C"/>
    <x:tableColumn id="5" name="2nd A"/>
    <x:tableColumn id="6" name="2nd B"/>
    <x:tableColumn id="7" name="3rd"/>
    <x:tableColumn id="8" name="4th"/>
    <x:tableColumn id="9" name="5th"/>
    <x:tableColumn id="10" name="6th"/>
    <x:tableColumn id="11" name="Rev A"/>
    <x:tableColumn id="12" name="Rev B"/>
    <x:tableColumn id="13" name="Rev C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put14" displayName="Input14" ref="A1:N10" headerRowCount="1" totalsRowCount="0" totalsRowShown="0">
  <x:tableColumns count="14">
    <x:tableColumn id="1" name="Date"/>
    <x:tableColumn id="2" name="1st A"/>
    <x:tableColumn id="3" name="1st B"/>
    <x:tableColumn id="4" name="1st C"/>
    <x:tableColumn id="5" name="1st D"/>
    <x:tableColumn id="6" name="2nd"/>
    <x:tableColumn id="7" name="3rd"/>
    <x:tableColumn id="8" name="4th"/>
    <x:tableColumn id="9" name="5th"/>
    <x:tableColumn id="10" name="6th"/>
    <x:tableColumn id="11" name="Rev A"/>
    <x:tableColumn id="12" name="Rev B"/>
    <x:tableColumn id="13" name="Rev C"/>
    <x:tableColumn id="14" name="Rev 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put15" displayName="Input15" ref="A1:O10" headerRowCount="1" totalsRowCount="0" totalsRowShown="0">
  <x:tableColumns count="15">
    <x:tableColumn id="1" name="Date"/>
    <x:tableColumn id="2" name="1st A"/>
    <x:tableColumn id="3" name="1st B"/>
    <x:tableColumn id="4" name="1st C"/>
    <x:tableColumn id="5" name="1st D"/>
    <x:tableColumn id="6" name="2nd A"/>
    <x:tableColumn id="7" name="2nd B"/>
    <x:tableColumn id="8" name="3rd"/>
    <x:tableColumn id="9" name="4th"/>
    <x:tableColumn id="10" name="5th"/>
    <x:tableColumn id="11" name="6th"/>
    <x:tableColumn id="12" name="Rev A"/>
    <x:tableColumn id="13" name="Rev B"/>
    <x:tableColumn id="14" name="Rev C"/>
    <x:tableColumn id="15" name="Rev 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put16" displayName="Input16" ref="A1:O10" headerRowCount="1" totalsRowCount="0" totalsRowShown="0">
  <x:tableColumns count="15">
    <x:tableColumn id="1" name="Date"/>
    <x:tableColumn id="2" name="1st A"/>
    <x:tableColumn id="3" name="1st B"/>
    <x:tableColumn id="4" name="1st C"/>
    <x:tableColumn id="5" name="1st D"/>
    <x:tableColumn id="6" name="2nd A"/>
    <x:tableColumn id="7" name="2nd B"/>
    <x:tableColumn id="8" name="3rd"/>
    <x:tableColumn id="9" name="4th"/>
    <x:tableColumn id="10" name="5th"/>
    <x:tableColumn id="11" name="6th"/>
    <x:tableColumn id="12" name="Rev A"/>
    <x:tableColumn id="13" name="Rev B"/>
    <x:tableColumn id="14" name="Rev C"/>
    <x:tableColumn id="15" name="Rev 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put17" displayName="Input17" ref="A1:M10" headerRowCount="1" totalsRowCount="0" totalsRowShown="0">
  <x:tableColumns count="13">
    <x:tableColumn id="1" name="Date"/>
    <x:tableColumn id="2" name="1st A"/>
    <x:tableColumn id="3" name="1st B"/>
    <x:tableColumn id="4" name="1st C"/>
    <x:tableColumn id="5" name="2nd"/>
    <x:tableColumn id="6" name="3rd"/>
    <x:tableColumn id="7" name="4th"/>
    <x:tableColumn id="8" name="5th"/>
    <x:tableColumn id="9" name="6th"/>
    <x:tableColumn id="10" name="7th"/>
    <x:tableColumn id="11" name="Rev A"/>
    <x:tableColumn id="12" name="Rev B"/>
    <x:tableColumn id="13" name="Rev C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put18" displayName="Input18" ref="A1:C9" headerRowCount="1" totalsRowCount="0" totalsRowShown="0">
  <x:tableColumns count="3">
    <x:tableColumn id="1" name="Date"/>
    <x:tableColumn id="2" name="Bark on chip · AE · Bark (%)"/>
    <x:tableColumn id="3" name="Bark on chip · Lyocell · Bark (%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put19" displayName="Input19" ref="A1:F7" headerRowCount="1" totalsRowCount="0" totalsRowShown="0">
  <x:tableColumns count="6">
    <x:tableColumn id="1" name="Area"/>
    <x:tableColumn id="2" name="Action"/>
    <x:tableColumn id="3" name="PIC"/>
    <x:tableColumn id="4" name="Due"/>
    <x:tableColumn id="5" name="Status"/>
    <x:tableColumn id="6" name="Upda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nput20" displayName="Input20" ref="A1:G183" headerRowCount="1" totalsRowCount="0" totalsRowShown="0">
  <x:tableColumns count="7">
    <x:tableColumn id="1" name="Sheet"/>
    <x:tableColumn id="2" name="Parameter"/>
    <x:tableColumn id="3" name="Lower"/>
    <x:tableColumn id="4" name="Upper / target"/>
    <x:tableColumn id="5" name="Rule"/>
    <x:tableColumn id="6" name="Secondary target"/>
    <x:tableColumn id="7" name="Secondary targe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eccacba60a4e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39c7d93f6f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932f7d4eed49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984acfc0b14a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09911768d7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4d32cfee4141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95c9fd3ced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853b732a8845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5a04f545ed4c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38a3b5f4c4448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a52d0ca9a224f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51ed694e44e418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5d3f066a43d49b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b0664102303424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12fb6ae2bce4c3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0853af7b0dc41f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0eb78bc8cc6403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74e5e3fd79a4a3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af729d060ed40b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845912b8b9984d77" /></Relationships>
</file>

<file path=xl/worksheets/sheet1.xml><?xml version="1.0" encoding="utf-8"?>
<x:worksheet xmlns:x="http://schemas.openxmlformats.org/spreadsheetml/2006/main">
  <x:sheetPr>
    <x:tabColor rgb="FF103864"/>
  </x:sheetPr>
  <x:sheetViews>
    <x:sheetView showGridLines="0" workbookViewId="0"/>
  </x:sheetViews>
  <x:sheetFormatPr defaultRowHeight="15"/>
  <x:cols>
    <x:col min="1" max="1" width="28" hidden="0" customWidth="1"/>
    <x:col min="2" max="2" width="108" hidden="0" customWidth="1"/>
  </x:cols>
  <x:sheetData>
    <x:row r="1" ht="26" customHeight="1">
      <x:c r="A1" s="2"/>
      <x:c r="B1" s="2"/>
    </x:row>
    <x:row r="2" ht="26" customHeight="1">
      <x:c r="A2" s="3" t="str">
        <x:v>Silica weekly update</x:v>
      </x:c>
      <x:c r="B2" s="2"/>
    </x:row>
    <x:row r="3" ht="26" customHeight="1">
      <x:c r="A3" s="2"/>
      <x:c r="B3" s="2"/>
    </x:row>
    <x:row r="4" ht="28" customHeight="1">
      <x:c r="A4" s="5" t="str">
        <x:v>Setting</x:v>
      </x:c>
      <x:c r="B4" s="5" t="str">
        <x:v>Value</x:v>
      </x:c>
    </x:row>
    <x:row r="5" ht="26" customHeight="1">
      <x:c r="A5" s="2" t="str">
        <x:v>Week ending</x:v>
      </x:c>
      <x:c r="B5" s="7" t="n">
        <x:v>46288</x:v>
      </x:c>
    </x:row>
    <x:row r="6" ht="26" customHeight="1">
      <x:c r="A6" s="2" t="str">
        <x:v>Data source</x:v>
      </x:c>
      <x:c r="B6" s="6" t="str">
        <x:v>Sample</x:v>
      </x:c>
    </x:row>
    <x:row r="7" ht="58" customHeight="1">
      <x:c r="A7" s="2" t="str">
        <x:v>Commentary</x:v>
      </x:c>
      <x:c r="B7" s="8" t="str">
        <x:v>Sample weekly update: woodyard silica remains the main attention area. Review washing pressure and screen availability alongside silica trends. These observations do not establish causation.</x:v>
      </x:c>
    </x:row>
    <x:row r="8" ht="26" customHeight="1">
      <x:c r="A8" s="2"/>
      <x:c r="B8" s="2"/>
    </x:row>
    <x:row r="9" ht="28" customHeight="1">
      <x:c r="A9" s="12" t="str">
        <x:v>Weekly workflow</x:v>
      </x:c>
      <x:c r="B9" s="11" t="str"/>
    </x:row>
    <x:row r="10" ht="40" customHeight="1">
      <x:c r="A10" s="2" t="str">
        <x:v>1. Set the reporting week</x:v>
      </x:c>
      <x:c r="B10" s="9" t="str">
        <x:v>Change B5. Daily dates follow this date. Monthly dates, TF dates and action deadlines stay fixed.</x:v>
      </x:c>
    </x:row>
    <x:row r="11" ht="40" customHeight="1">
      <x:c r="A11" s="2" t="str">
        <x:v>2. Enter daily values</x:v>
      </x:c>
      <x:c r="B11" s="9" t="str">
        <x:v>Date is column A. Parameters run across row 1. Replace synthetic readings with your measurements.</x:v>
      </x:c>
    </x:row>
    <x:row r="12" ht="40" customHeight="1">
      <x:c r="A12" s="2" t="str">
        <x:v>3. Enter monthly averages</x:v>
      </x:c>
      <x:c r="B12" s="9" t="str">
        <x:v>Monthly silica and Monthly bark supply the executive chart bars. Use the first day of each completed month; daily values form the weekly lines.</x:v>
      </x:c>
    </x:row>
    <x:row r="13" ht="40" customHeight="1">
      <x:c r="A13" s="2" t="str">
        <x:v>4. Keep seven TF tables</x:v>
      </x:c>
      <x:c r="B13" s="9" t="str">
        <x:v>TF PD1 Old / New, TF PD2 Old / New and TF PD3 L1 / L2 / L3 keep dated 2026 history. Append actual sampling dates.</x:v>
      </x:c>
    </x:row>
    <x:row r="14" ht="40" customHeight="1">
      <x:c r="A14" s="2" t="str">
        <x:v>5. Update actions</x:v>
      </x:c>
      <x:c r="B14" s="9" t="str">
        <x:v>One row per action: Area, Action, PIC, Due, Status, Update. Status must be Done, Cancelled or Pending.</x:v>
      </x:c>
    </x:row>
    <x:row r="15" ht="40" customHeight="1">
      <x:c r="A15" s="2" t="str">
        <x:v>6. Review Limits</x:v>
      </x:c>
      <x:c r="B15" s="9" t="str">
        <x:v>Edit alert bounds in Limits. Keep Sheet and Parameter labels unchanged. Blank bounds disable that check.</x:v>
      </x:c>
    </x:row>
    <x:row r="16" ht="40" customHeight="1">
      <x:c r="A16" s="2" t="str">
        <x:v>7. Load and save</x:v>
      </x:c>
      <x:c r="B16" s="9" t="str">
        <x:v>Change Data source to Entered after replacing examples. Explorer → Weekly data → Choose Excel file → review → Save &amp; update dashboard.</x:v>
      </x:c>
    </x:row>
    <x:row r="17" ht="28" customHeight="1">
      <x:c r="A17" s="12" t="str">
        <x:v>Table and date rules</x:v>
      </x:c>
      <x:c r="B17" s="11" t="str"/>
    </x:row>
    <x:row r="18" ht="40" customHeight="1">
      <x:c r="A18" s="2" t="str">
        <x:v>Daily tabs</x:v>
      </x:c>
      <x:c r="B18" s="9" t="str">
        <x:v>Silica, Washing, Bypass, Bark, Screening flow, Screening operation, pH, OV reject, Headbox pH. Dates must be within the report week.</x:v>
      </x:c>
    </x:row>
    <x:row r="19" ht="40" customHeight="1">
      <x:c r="A19" s="2" t="str">
        <x:v>Historical tabs</x:v>
      </x:c>
      <x:c r="B19" s="9" t="str">
        <x:v>Monthly tabs use completed months before the reporting month. TF tabs use actual dates up to week end.</x:v>
      </x:c>
    </x:row>
    <x:row r="20" ht="40" customHeight="1">
      <x:c r="A20" s="2" t="str">
        <x:v>Missing values and zero</x:v>
      </x:c>
      <x:c r="B20" s="9" t="str">
        <x:v>Leave missing readings blank. Zero is a real measurement. Numeric cells must not contain dashes or unit text.</x:v>
      </x:c>
    </x:row>
    <x:row r="21" ht="40" customHeight="1">
      <x:c r="A21" s="2" t="str">
        <x:v>Percentages</x:v>
      </x:c>
      <x:c r="B21" s="9" t="str">
        <x:v>Enter 80 for 80%, not 0.80. Units appear in parameter headers.</x:v>
      </x:c>
    </x:row>
    <x:row r="22" ht="40" customHeight="1">
      <x:c r="A22" s="2" t="str">
        <x:v>Silica targets</x:v>
      </x:c>
      <x:c r="B22" s="9" t="str">
        <x:v>Upper / target is the silica target. Rule &lt; excludes the target; &lt;= includes it. Secondary targets are plotted separately.</x:v>
      </x:c>
    </x:row>
    <x:row r="23" ht="40" customHeight="1">
      <x:c r="A23" s="2" t="str">
        <x:v>Weekly summary</x:v>
      </x:c>
      <x:c r="B23" s="9" t="str">
        <x:v>Avg is the arithmetic mean of measured daily values. % Acc. = readings meeting target / readings with a result and target × 100. Monthly averages are excluded.</x:v>
      </x:c>
    </x:row>
    <x:row r="24" ht="40" customHeight="1">
      <x:c r="A24" s="2" t="str">
        <x:v>Thickening factor</x:v>
      </x:c>
      <x:c r="B24" s="9" t="str">
        <x:v>Values &lt;1.50 are highlighted for inspection, following Slide25. Exactly 1.50 meets the limit.</x:v>
      </x:c>
    </x:row>
    <x:row r="25" ht="40" customHeight="1">
      <x:c r="A25" s="2" t="str">
        <x:v>Keep template structure</x:v>
      </x:c>
      <x:c r="B25" s="9" t="str">
        <x:v>Keep tab names and parameter headers. Parameter columns may be reordered. Actions use the six headers shown.</x:v>
      </x:c>
    </x:row>
    <x:row r="26" ht="40" customHeight="1">
      <x:c r="A26" s="2" t="str">
        <x:v>Optional paste boxes</x:v>
      </x:c>
      <x:c r="B26" s="9" t="str">
        <x:v>Load this wide workbook with Choose Excel file. Detailed paste boxes retain their separate row-based headers.</x:v>
      </x:c>
    </x:row>
    <x:row r="27" ht="28" customHeight="1">
      <x:c r="A27" s="12" t="str">
        <x:v>Provenance</x:v>
      </x:c>
      <x:c r="B27" s="11" t="str"/>
    </x:row>
    <x:row r="28" ht="40" customHeight="1">
      <x:c r="A28" s="2" t="str">
        <x:v>Synthetic examples</x:v>
      </x:c>
      <x:c r="B28" s="9" t="str">
        <x:v>All daily readings, monthly averages, TF history, owners, deadlines and statuses are SYNTHETIC, not transcribed historical results. Replace before reporting.</x:v>
      </x:c>
    </x:row>
    <x:row r="29" ht="40" customHeight="1">
      <x:c r="A29" s="2" t="str">
        <x:v>Supplied references</x:v>
      </x:c>
      <x:c r="B29" s="9" t="str">
        <x:v>Structure follows your executive summary, actions, washing, bypass, screening, pH, reject and thickening-factor slides.</x:v>
      </x:c>
    </x:row>
    <x:row r="30" ht="40" customHeight="1">
      <x:c r="A30" s="2" t="str">
        <x:v>Targets from slides</x:v>
      </x:c>
      <x:c r="B30" s="9" t="str">
        <x:v>Chipper &lt;160 ppm; chip to FL &lt;=160; unbleached &lt;=250; AE to APR &lt;=55; Lyocell &lt;=40; Sateri &lt;=80.</x:v>
      </x:c>
    </x:row>
    <x:row r="31" ht="40" customHeight="1">
      <x:c r="A31" s="2" t="str">
        <x:v>Monitoring settings</x:v>
      </x:c>
      <x:c r="B31" s="9" t="str">
        <x:v>Review all demo limits before use. Washing uses an illustrative 8-bar floor. Screening examples are daily percentages, not PI event traces.</x:v>
      </x:c>
    </x:row>
    <x:row r="32" ht="40" customHeight="1">
      <x:c r="A32" s="2" t="str">
        <x:v>Historical retention</x:v>
      </x:c>
      <x:c r="B32" s="9" t="str">
        <x:v>Saved reports retain earlier TF samples and monthly averages. The current report overrides duplicate dates; summary alerts use the latest TF stage sample.</x:v>
      </x:c>
    </x:row>
    <x:row r="33" ht="26" customHeight="1">
      <x:c r="A33" s="2"/>
      <x:c r="B33" s="2"/>
    </x:row>
    <x:row r="34" ht="26" customHeight="1">
      <x:c r="A34" s="2"/>
      <x:c r="B34" s="2"/>
    </x:row>
    <x:row r="35" ht="26" customHeight="1">
      <x:c r="A35" s="2"/>
      <x:c r="B35" s="2"/>
    </x:row>
  </x:sheetData>
  <x:dataValidations count="1">
    <x:dataValidation type="list" sqref="B6">
      <x:formula1>"Sample,Entered"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85" customHeight="1">
      <x:c r="A1" s="14" t="str">
        <x:v>Date</x:v>
      </x:c>
      <x:c r="B1" s="14" t="str">
        <x:v>Silica after chipper · AE · Chp1 (ppm)</x:v>
      </x:c>
      <x:c r="C1" s="14" t="str">
        <x:v>Silica Chip to FL1 · AE (ppm)</x:v>
      </x:c>
      <x:c r="D1" s="14" t="str">
        <x:v>Silica Chip to FL2 · AE (ppm)</x:v>
      </x:c>
      <x:c r="E1" s="14" t="str">
        <x:v>Silica Chip to FL2 · Lyocell (ppm)</x:v>
      </x:c>
      <x:c r="F1" s="14" t="str">
        <x:v>Silica unbleached · FL1 (ppm)</x:v>
      </x:c>
      <x:c r="G1" s="14" t="str">
        <x:v>Silica unbleached · FL2 (ppm)</x:v>
      </x:c>
      <x:c r="H1" s="14" t="str">
        <x:v>Silica unbleached · FL2 Lyocell (ppm)</x:v>
      </x:c>
      <x:c r="I1" s="14" t="str">
        <x:v>Silica pulp dryer · FL1 · AE (ppm)</x:v>
      </x:c>
      <x:c r="J1" s="14" t="str">
        <x:v>Silica pulp dryer · FL2 · AE (ppm)</x:v>
      </x:c>
      <x:c r="K1" s="14" t="str">
        <x:v>Silica pulp dryer · FL2 · Lyocell (ppm)</x:v>
      </x:c>
      <x:c r="L1" s="14" t="str">
        <x:v>Silica after chipper · AE · Chp2 (ppm)</x:v>
      </x:c>
      <x:c r="M1" s="14" t="str">
        <x:v>Silica after chipper · AE · Chp4 (ppm)</x:v>
      </x:c>
      <x:c r="N1" s="14" t="str">
        <x:v>Silica after chipper · AE · F3 (Chp5) (ppm)</x:v>
      </x:c>
      <x:c r="O1" s="14" t="str">
        <x:v>Silica after chipper · AE · SF3 (Chp6) (ppm)</x:v>
      </x:c>
      <x:c r="P1" s="14" t="str">
        <x:v>Silica after chipper · AE · F4 (Chp7/8) (ppm)</x:v>
      </x:c>
      <x:c r="Q1" s="14" t="str">
        <x:v>Silica after chipper · AE · F6 (Chp9/10) (ppm)</x:v>
      </x:c>
      <x:c r="R1" s="14" t="str">
        <x:v>Silica after chipper · AE · F6 (Chp11) (ppm)</x:v>
      </x:c>
      <x:c r="S1" s="14" t="str">
        <x:v>Silica after chipper · AE · SF6 (Chp12) (ppm)</x:v>
      </x:c>
    </x:row>
    <x:row r="2" ht="26" customHeight="1">
      <x:c r="A2" s="15" t="n">
        <x:f>Setup!$B$5-6</x:f>
        <x:v>46282</x:v>
      </x:c>
      <x:c r="B2" s="16" t="n">
        <x:v>177</x:v>
      </x:c>
      <x:c r="C2" s="16" t="n">
        <x:v>158.4</x:v>
      </x:c>
      <x:c r="D2" s="16" t="n">
        <x:v>175.6</x:v>
      </x:c>
      <x:c r="E2" s="16" t="n">
        <x:v>172.2</x:v>
      </x:c>
      <x:c r="F2" s="16" t="n">
        <x:v>212.2</x:v>
      </x:c>
      <x:c r="G2" s="16" t="n">
        <x:v>218.9</x:v>
      </x:c>
      <x:c r="H2" s="16" t="n">
        <x:v>229</x:v>
      </x:c>
      <x:c r="I2" s="16" t="n">
        <x:v>52.1</x:v>
      </x:c>
      <x:c r="J2" s="16" t="n">
        <x:v>43.9</x:v>
      </x:c>
      <x:c r="K2" s="16" t="n">
        <x:v>43.7</x:v>
      </x:c>
      <x:c r="L2" s="16" t="n">
        <x:v>161</x:v>
      </x:c>
      <x:c r="M2" s="16" t="n">
        <x:v>180</x:v>
      </x:c>
      <x:c r="N2" s="16" t="n">
        <x:v>184</x:v>
      </x:c>
      <x:c r="O2" s="16" t="n">
        <x:v>173</x:v>
      </x:c>
      <x:c r="P2" s="16" t="n">
        <x:v>159</x:v>
      </x:c>
      <x:c r="Q2" s="16" t="n">
        <x:v>158</x:v>
      </x:c>
      <x:c r="R2" s="16" t="n">
        <x:v>174</x:v>
      </x:c>
      <x:c r="S2" s="16" t="n">
        <x:v>194</x:v>
      </x:c>
    </x:row>
    <x:row r="3" ht="26" customHeight="1">
      <x:c r="A3" s="15" t="n">
        <x:f>Setup!$B$5-5</x:f>
        <x:v>46283</x:v>
      </x:c>
      <x:c r="B3" s="16" t="n">
        <x:v>193.1</x:v>
      </x:c>
      <x:c r="C3" s="16" t="n">
        <x:v>156.2</x:v>
      </x:c>
      <x:c r="D3" s="16" t="n">
        <x:v>158.2</x:v>
      </x:c>
      <x:c r="E3" s="16" t="n">
        <x:v>155.1</x:v>
      </x:c>
      <x:c r="F3" s="16" t="n">
        <x:v>211.9</x:v>
      </x:c>
      <x:c r="G3" s="16" t="n">
        <x:v>242.6</x:v>
      </x:c>
      <x:c r="H3" s="16" t="n">
        <x:v>254.3</x:v>
      </x:c>
      <x:c r="I3" s="16" t="n">
        <x:v>53.1</x:v>
      </x:c>
      <x:c r="J3" s="16" t="n">
        <x:v>40.1</x:v>
      </x:c>
      <x:c r="K3" s="16" t="n">
        <x:v>38.6</x:v>
      </x:c>
      <x:c r="L3" s="16" t="n">
        <x:v>177</x:v>
      </x:c>
      <x:c r="M3" s="16" t="n">
        <x:v>181</x:v>
      </x:c>
      <x:c r="N3" s="16" t="n">
        <x:v>170</x:v>
      </x:c>
      <x:c r="O3" s="16" t="n">
        <x:v>156</x:v>
      </x:c>
      <x:c r="P3" s="16" t="n">
        <x:v>155</x:v>
      </x:c>
      <x:c r="Q3" s="16" t="n">
        <x:v>171</x:v>
      </x:c>
      <x:c r="R3" s="16" t="n">
        <x:v>191</x:v>
      </x:c>
      <x:c r="S3" s="16" t="n">
        <x:v>201</x:v>
      </x:c>
    </x:row>
    <x:row r="4" ht="26" customHeight="1">
      <x:c r="A4" s="15" t="n">
        <x:f>Setup!$B$5-4</x:f>
        <x:v>46284</x:v>
      </x:c>
      <x:c r="B4" s="16" t="n">
        <x:v>182.5</x:v>
      </x:c>
      <x:c r="C4" s="16" t="n">
        <x:v>138.7</x:v>
      </x:c>
      <x:c r="D4" s="16" t="n">
        <x:v>147.1</x:v>
      </x:c>
      <x:c r="E4" s="16" t="n">
        <x:v>162.7</x:v>
      </x:c>
      <x:c r="F4" s="16" t="n">
        <x:v>238.3</x:v>
      </x:c>
      <x:c r="G4" s="16" t="n">
        <x:v>261.9</x:v>
      </x:c>
      <x:c r="H4" s="16" t="n">
        <x:v>247.6</x:v>
      </x:c>
      <x:c r="I4" s="16" t="n">
        <x:v>47.3</x:v>
      </x:c>
      <x:c r="J4" s="16" t="n">
        <x:v>36.1</x:v>
      </x:c>
      <x:c r="K4" s="16" t="n">
        <x:v>39.1</x:v>
      </x:c>
      <x:c r="L4" s="16" t="n">
        <x:v>178</x:v>
      </x:c>
      <x:c r="M4" s="16" t="n">
        <x:v>167</x:v>
      </x:c>
      <x:c r="N4" s="16" t="n">
        <x:v>153</x:v>
      </x:c>
      <x:c r="O4" s="16" t="n">
        <x:v>152</x:v>
      </x:c>
      <x:c r="P4" s="16" t="n">
        <x:v>168</x:v>
      </x:c>
      <x:c r="Q4" s="16" t="n">
        <x:v>188</x:v>
      </x:c>
      <x:c r="R4" s="16" t="n">
        <x:v>198</x:v>
      </x:c>
      <x:c r="S4" s="16" t="n">
        <x:v>190</x:v>
      </x:c>
    </x:row>
    <x:row r="5" ht="26" customHeight="1">
      <x:c r="A5" s="15" t="n">
        <x:f>Setup!$B$5-3</x:f>
        <x:v>46285</x:v>
      </x:c>
      <x:c r="B5" s="16" t="n">
        <x:v>162.8</x:v>
      </x:c>
      <x:c r="C5" s="16" t="n">
        <x:v>135</x:v>
      </x:c>
      <x:c r="D5" s="16" t="n">
        <x:v>160.8</x:v>
      </x:c>
      <x:c r="E5" s="16" t="n">
        <x:v>182.4</x:v>
      </x:c>
      <x:c r="F5" s="16" t="n">
        <x:v>247.6</x:v>
      </x:c>
      <x:c r="G5" s="16" t="n">
        <x:v>244.9</x:v>
      </x:c>
      <x:c r="H5" s="16" t="n">
        <x:v>219.9</x:v>
      </x:c>
      <x:c r="I5" s="16" t="n">
        <x:v>44.3</x:v>
      </x:c>
      <x:c r="J5" s="16" t="n">
        <x:v>38.6</x:v>
      </x:c>
      <x:c r="K5" s="16" t="n">
        <x:v>44.5</x:v>
      </x:c>
      <x:c r="L5" s="16" t="n">
        <x:v>164</x:v>
      </x:c>
      <x:c r="M5" s="16" t="n">
        <x:v>150</x:v>
      </x:c>
      <x:c r="N5" s="16" t="n">
        <x:v>149</x:v>
      </x:c>
      <x:c r="O5" s="16" t="n">
        <x:v>165</x:v>
      </x:c>
      <x:c r="P5" s="16" t="n">
        <x:v>185</x:v>
      </x:c>
      <x:c r="Q5" s="16" t="n">
        <x:v>195</x:v>
      </x:c>
      <x:c r="R5" s="16" t="n">
        <x:v>187</x:v>
      </x:c>
      <x:c r="S5" s="16" t="n">
        <x:v>172</x:v>
      </x:c>
    </x:row>
    <x:row r="6" ht="26" customHeight="1">
      <x:c r="A6" s="15" t="n">
        <x:f>Setup!$B$5-2</x:f>
        <x:v>46286</x:v>
      </x:c>
      <x:c r="B6" s="16" t="n">
        <x:v>166.7</x:v>
      </x:c>
      <x:c r="C6" s="16" t="n">
        <x:v>151.2</x:v>
      </x:c>
      <x:c r="D6" s="16" t="n">
        <x:v>176.5</x:v>
      </x:c>
      <x:c r="E6" s="16" t="n">
        <x:v>181.5</x:v>
      </x:c>
      <x:c r="F6" s="16" t="n">
        <x:v>224.4</x:v>
      </x:c>
      <x:c r="G6" s="16" t="n">
        <x:v>219.7</x:v>
      </x:c>
      <x:c r="H6" s="16" t="n">
        <x:v>217.3</x:v>
      </x:c>
      <x:c r="I6" s="16" t="n">
        <x:v>49.2</x:v>
      </x:c>
      <x:c r="J6" s="16" t="n">
        <x:v>43.4</x:v>
      </x:c>
      <x:c r="K6" s="16" t="n">
        <x:v>45.7</x:v>
      </x:c>
      <x:c r="L6" s="16" t="n">
        <x:v>147</x:v>
      </x:c>
      <x:c r="M6" s="16" t="n">
        <x:v>146</x:v>
      </x:c>
      <x:c r="N6" s="16" t="n">
        <x:v>162</x:v>
      </x:c>
      <x:c r="O6" s="16" t="n">
        <x:v>182</x:v>
      </x:c>
      <x:c r="P6" s="16" t="n">
        <x:v>192</x:v>
      </x:c>
      <x:c r="Q6" s="16" t="n">
        <x:v>184</x:v>
      </x:c>
      <x:c r="R6" s="16" t="n">
        <x:v>169</x:v>
      </x:c>
      <x:c r="S6" s="16" t="n">
        <x:v>163</x:v>
      </x:c>
    </x:row>
    <x:row r="7" ht="26" customHeight="1">
      <x:c r="A7" s="15" t="n">
        <x:f>Setup!$B$5-1</x:f>
        <x:v>46287</x:v>
      </x:c>
      <x:c r="B7" s="16" t="n">
        <x:v>187.7</x:v>
      </x:c>
      <x:c r="C7" s="16" t="n">
        <x:v>160.4</x:v>
      </x:c>
      <x:c r="D7" s="16" t="n">
        <x:v>168.2</x:v>
      </x:c>
      <x:c r="E7" s="16" t="n">
        <x:v>161.5</x:v>
      </x:c>
      <x:c r="F7" s="16" t="n">
        <x:v>207.1</x:v>
      </x:c>
      <x:c r="G7" s="16" t="n">
        <x:v>228.2</x:v>
      </x:c>
      <x:c r="H7" s="16" t="n">
        <x:v>244</x:v>
      </x:c>
      <x:c r="I7" s="16" t="n">
        <x:v>53.7</x:v>
      </x:c>
      <x:c r="J7" s="16" t="n">
        <x:v>42.6</x:v>
      </x:c>
      <x:c r="K7" s="16" t="n">
        <x:v>40.8</x:v>
      </x:c>
      <x:c r="L7" s="16" t="n">
        <x:v>143</x:v>
      </x:c>
      <x:c r="M7" s="16" t="n">
        <x:v>159</x:v>
      </x:c>
      <x:c r="N7" s="16" t="n">
        <x:v>179</x:v>
      </x:c>
      <x:c r="O7" s="16" t="n">
        <x:v>189</x:v>
      </x:c>
      <x:c r="P7" s="16" t="n">
        <x:v>181</x:v>
      </x:c>
      <x:c r="Q7" s="16" t="n">
        <x:v>166</x:v>
      </x:c>
      <x:c r="R7" s="16" t="n">
        <x:v>160</x:v>
      </x:c>
      <x:c r="S7" s="16" t="n">
        <x:v>172</x:v>
      </x:c>
    </x:row>
    <x:row r="8" ht="26" customHeight="1">
      <x:c r="A8" s="15" t="n">
        <x:f>Setup!$B$5</x:f>
        <x:v>46288</x:v>
      </x:c>
      <x:c r="B8" s="16" t="n">
        <x:v>190.9</x:v>
      </x:c>
      <x:c r="C8" s="16" t="n">
        <x:v>147.3</x:v>
      </x:c>
      <x:c r="D8" s="16" t="n">
        <x:v>149.6</x:v>
      </x:c>
      <x:c r="E8" s="16" t="n">
        <x:v>155.6</x:v>
      </x:c>
      <x:c r="F8" s="16" t="n">
        <x:v>224.5</x:v>
      </x:c>
      <x:c r="G8" s="16" t="n">
        <x:v>256.3</x:v>
      </x:c>
      <x:c r="H8" s="16" t="n">
        <x:v>255.8</x:v>
      </x:c>
      <x:c r="I8" s="16" t="n">
        <x:v>50.4</x:v>
      </x:c>
      <x:c r="J8" s="16" t="n">
        <x:v>37.5</x:v>
      </x:c>
      <x:c r="K8" s="16" t="n">
        <x:v>37.9</x:v>
      </x:c>
      <x:c r="L8" s="16" t="n">
        <x:v>156</x:v>
      </x:c>
      <x:c r="M8" s="16" t="n">
        <x:v>176</x:v>
      </x:c>
      <x:c r="N8" s="16" t="n">
        <x:v>186</x:v>
      </x:c>
      <x:c r="O8" s="16" t="n">
        <x:v>178</x:v>
      </x:c>
      <x:c r="P8" s="16" t="n">
        <x:v>163</x:v>
      </x:c>
      <x:c r="Q8" s="16" t="n">
        <x:v>157</x:v>
      </x:c>
      <x:c r="R8" s="16" t="n">
        <x:v>169</x:v>
      </x:c>
      <x:c r="S8" s="16" t="n">
        <x:v>190</x:v>
      </x:c>
    </x:row>
  </x:sheetData>
  <x:conditionalFormatting sqref="B2:B8">
    <x:cfRule type="expression" dxfId="0" priority="1">
      <x:formula>AND(ISNUMBER(B2),ISNUMBER(Limits!$D$2),IF(Limits!$E$2="&lt;=",B2&gt;Limits!$D$2,B2&gt;=Limits!$D$2))</x:formula>
    </x:cfRule>
  </x:conditionalFormatting>
  <x:conditionalFormatting sqref="C2:C8">
    <x:cfRule type="expression" dxfId="1" priority="2">
      <x:formula>AND(ISNUMBER(C2),ISNUMBER(Limits!$D$3),IF(Limits!$E$3="&lt;=",C2&gt;Limits!$D$3,C2&gt;=Limits!$D$3))</x:formula>
    </x:cfRule>
  </x:conditionalFormatting>
  <x:conditionalFormatting sqref="D2:D8">
    <x:cfRule type="expression" dxfId="2" priority="3">
      <x:formula>AND(ISNUMBER(D2),ISNUMBER(Limits!$D$4),IF(Limits!$E$4="&lt;=",D2&gt;Limits!$D$4,D2&gt;=Limits!$D$4))</x:formula>
    </x:cfRule>
  </x:conditionalFormatting>
  <x:conditionalFormatting sqref="E2:E8">
    <x:cfRule type="expression" dxfId="3" priority="4">
      <x:formula>AND(ISNUMBER(E2),ISNUMBER(Limits!$D$5),IF(Limits!$E$5="&lt;=",E2&gt;Limits!$D$5,E2&gt;=Limits!$D$5))</x:formula>
    </x:cfRule>
  </x:conditionalFormatting>
  <x:conditionalFormatting sqref="F2:F8">
    <x:cfRule type="expression" dxfId="4" priority="5">
      <x:formula>AND(ISNUMBER(F2),ISNUMBER(Limits!$D$6),IF(Limits!$E$6="&lt;=",F2&gt;Limits!$D$6,F2&gt;=Limits!$D$6))</x:formula>
    </x:cfRule>
  </x:conditionalFormatting>
  <x:conditionalFormatting sqref="G2:G8">
    <x:cfRule type="expression" dxfId="5" priority="6">
      <x:formula>AND(ISNUMBER(G2),ISNUMBER(Limits!$D$7),IF(Limits!$E$7="&lt;=",G2&gt;Limits!$D$7,G2&gt;=Limits!$D$7))</x:formula>
    </x:cfRule>
  </x:conditionalFormatting>
  <x:conditionalFormatting sqref="H2:H8">
    <x:cfRule type="expression" dxfId="6" priority="7">
      <x:formula>AND(ISNUMBER(H2),ISNUMBER(Limits!$D$8),IF(Limits!$E$8="&lt;=",H2&gt;Limits!$D$8,H2&gt;=Limits!$D$8))</x:formula>
    </x:cfRule>
  </x:conditionalFormatting>
  <x:conditionalFormatting sqref="I2:I8">
    <x:cfRule type="expression" dxfId="7" priority="8">
      <x:formula>AND(ISNUMBER(I2),ISNUMBER(Limits!$D$9),IF(Limits!$E$9="&lt;=",I2&gt;Limits!$D$9,I2&gt;=Limits!$D$9))</x:formula>
    </x:cfRule>
  </x:conditionalFormatting>
  <x:conditionalFormatting sqref="J2:J8">
    <x:cfRule type="expression" dxfId="8" priority="9">
      <x:formula>AND(ISNUMBER(J2),ISNUMBER(Limits!$D$10),IF(Limits!$E$10="&lt;=",J2&gt;Limits!$D$10,J2&gt;=Limits!$D$10))</x:formula>
    </x:cfRule>
  </x:conditionalFormatting>
  <x:conditionalFormatting sqref="K2:K8">
    <x:cfRule type="expression" dxfId="9" priority="10">
      <x:formula>AND(ISNUMBER(K2),ISNUMBER(Limits!$D$11),IF(Limits!$E$11="&lt;=",K2&gt;Limits!$D$11,K2&gt;=Limits!$D$11))</x:formula>
    </x:cfRule>
  </x:conditionalFormatting>
  <x:conditionalFormatting sqref="L2:L8">
    <x:cfRule type="expression" dxfId="10" priority="11">
      <x:formula>AND(ISNUMBER(L2),ISNUMBER(Limits!$D$12),IF(Limits!$E$12="&lt;=",L2&gt;Limits!$D$12,L2&gt;=Limits!$D$12))</x:formula>
    </x:cfRule>
  </x:conditionalFormatting>
  <x:conditionalFormatting sqref="M2:M8">
    <x:cfRule type="expression" dxfId="11" priority="12">
      <x:formula>AND(ISNUMBER(M2),ISNUMBER(Limits!$D$13),IF(Limits!$E$13="&lt;=",M2&gt;Limits!$D$13,M2&gt;=Limits!$D$13))</x:formula>
    </x:cfRule>
  </x:conditionalFormatting>
  <x:conditionalFormatting sqref="N2:N8">
    <x:cfRule type="expression" dxfId="12" priority="13">
      <x:formula>AND(ISNUMBER(N2),ISNUMBER(Limits!$D$14),IF(Limits!$E$14="&lt;=",N2&gt;Limits!$D$14,N2&gt;=Limits!$D$14))</x:formula>
    </x:cfRule>
  </x:conditionalFormatting>
  <x:conditionalFormatting sqref="O2:O8">
    <x:cfRule type="expression" dxfId="13" priority="14">
      <x:formula>AND(ISNUMBER(O2),ISNUMBER(Limits!$D$15),IF(Limits!$E$15="&lt;=",O2&gt;Limits!$D$15,O2&gt;=Limits!$D$15))</x:formula>
    </x:cfRule>
  </x:conditionalFormatting>
  <x:conditionalFormatting sqref="P2:P8">
    <x:cfRule type="expression" dxfId="14" priority="15">
      <x:formula>AND(ISNUMBER(P2),ISNUMBER(Limits!$D$16),IF(Limits!$E$16="&lt;=",P2&gt;Limits!$D$16,P2&gt;=Limits!$D$16))</x:formula>
    </x:cfRule>
  </x:conditionalFormatting>
  <x:conditionalFormatting sqref="Q2:Q8">
    <x:cfRule type="expression" dxfId="15" priority="16">
      <x:formula>AND(ISNUMBER(Q2),ISNUMBER(Limits!$D$17),IF(Limits!$E$17="&lt;=",Q2&gt;Limits!$D$17,Q2&gt;=Limits!$D$17))</x:formula>
    </x:cfRule>
  </x:conditionalFormatting>
  <x:conditionalFormatting sqref="R2:R8">
    <x:cfRule type="expression" dxfId="16" priority="17">
      <x:formula>AND(ISNUMBER(R2),ISNUMBER(Limits!$D$18),IF(Limits!$E$18="&lt;=",R2&gt;Limits!$D$18,R2&gt;=Limits!$D$18))</x:formula>
    </x:cfRule>
  </x:conditionalFormatting>
  <x:conditionalFormatting sqref="S2:S8">
    <x:cfRule type="expression" dxfId="17" priority="18">
      <x:formula>AND(ISNUMBER(S2),ISNUMBER(Limits!$D$19),IF(Limits!$E$19="&lt;=",S2&gt;Limits!$D$19,S2&gt;=Limits!$D$19))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eccacba60a4e03"/>
  </x:tableParts>
</x:worksheet>
</file>

<file path=xl/worksheets/sheet3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85" customHeight="1">
      <x:c r="A1" s="14" t="str">
        <x:v>Date</x:v>
      </x:c>
      <x:c r="B1" s="14" t="str">
        <x:v>Silica after chipper · AE · Chp1 (ppm)</x:v>
      </x:c>
      <x:c r="C1" s="14" t="str">
        <x:v>Silica Chip to FL1 · AE (ppm)</x:v>
      </x:c>
      <x:c r="D1" s="14" t="str">
        <x:v>Silica Chip to FL2 · AE (ppm)</x:v>
      </x:c>
      <x:c r="E1" s="14" t="str">
        <x:v>Silica Chip to FL2 · Lyocell (ppm)</x:v>
      </x:c>
      <x:c r="F1" s="14" t="str">
        <x:v>Silica unbleached · FL1 (ppm)</x:v>
      </x:c>
      <x:c r="G1" s="14" t="str">
        <x:v>Silica unbleached · FL2 (ppm)</x:v>
      </x:c>
      <x:c r="H1" s="14" t="str">
        <x:v>Silica unbleached · FL2 Lyocell (ppm)</x:v>
      </x:c>
      <x:c r="I1" s="14" t="str">
        <x:v>Silica pulp dryer · FL1 · AE (ppm)</x:v>
      </x:c>
      <x:c r="J1" s="14" t="str">
        <x:v>Silica pulp dryer · FL2 · AE (ppm)</x:v>
      </x:c>
      <x:c r="K1" s="14" t="str">
        <x:v>Silica pulp dryer · FL2 · Lyocell (ppm)</x:v>
      </x:c>
      <x:c r="L1" s="14" t="str">
        <x:v>Silica after chipper · AE · Chp2 (ppm)</x:v>
      </x:c>
      <x:c r="M1" s="14" t="str">
        <x:v>Silica after chipper · AE · Chp4 (ppm)</x:v>
      </x:c>
      <x:c r="N1" s="14" t="str">
        <x:v>Silica after chipper · AE · F3 (Chp5) (ppm)</x:v>
      </x:c>
      <x:c r="O1" s="14" t="str">
        <x:v>Silica after chipper · AE · SF3 (Chp6) (ppm)</x:v>
      </x:c>
      <x:c r="P1" s="14" t="str">
        <x:v>Silica after chipper · AE · F4 (Chp7/8) (ppm)</x:v>
      </x:c>
      <x:c r="Q1" s="14" t="str">
        <x:v>Silica after chipper · AE · F6 (Chp9/10) (ppm)</x:v>
      </x:c>
      <x:c r="R1" s="14" t="str">
        <x:v>Silica after chipper · AE · F6 (Chp11) (ppm)</x:v>
      </x:c>
      <x:c r="S1" s="14" t="str">
        <x:v>Silica after chipper · AE · SF6 (Chp12) (ppm)</x:v>
      </x:c>
    </x:row>
    <x:row r="2" ht="26" customHeight="1">
      <x:c r="A2" s="15" t="n">
        <x:v>46023</x:v>
      </x:c>
      <x:c r="B2" s="16" t="n">
        <x:v>201.8</x:v>
      </x:c>
      <x:c r="C2" s="16" t="n">
        <x:v>158.4</x:v>
      </x:c>
      <x:c r="D2" s="16" t="n">
        <x:v>158.4</x:v>
      </x:c>
      <x:c r="E2" s="16" t="n">
        <x:v>161.7</x:v>
      </x:c>
      <x:c r="F2" s="16" t="n">
        <x:v>230</x:v>
      </x:c>
      <x:c r="G2" s="16" t="n">
        <x:v>263.9</x:v>
      </x:c>
      <x:c r="H2" s="16" t="n">
        <x:v>266.2</x:v>
      </x:c>
      <x:c r="I2" s="16" t="n">
        <x:v>61.8</x:v>
      </x:c>
      <x:c r="J2" s="16" t="n">
        <x:v>47.1</x:v>
      </x:c>
      <x:c r="K2" s="16" t="n">
        <x:v>44.7</x:v>
      </x:c>
      <x:c r="L2" s="16" t="n">
        <x:v>161.4</x:v>
      </x:c>
      <x:c r="M2" s="16" t="n">
        <x:v>182.8</x:v>
      </x:c>
      <x:c r="N2" s="16" t="n">
        <x:v>195.7</x:v>
      </x:c>
      <x:c r="O2" s="16" t="n">
        <x:v>189.4</x:v>
      </x:c>
      <x:c r="P2" s="16" t="n">
        <x:v>173.4</x:v>
      </x:c>
      <x:c r="Q2" s="16" t="n">
        <x:v>164.5</x:v>
      </x:c>
      <x:c r="R2" s="16" t="n">
        <x:v>174.5</x:v>
      </x:c>
      <x:c r="S2" s="16" t="n">
        <x:v>196.1</x:v>
      </x:c>
    </x:row>
    <x:row r="3" ht="26" customHeight="1">
      <x:c r="A3" s="15" t="n">
        <x:v>46054</x:v>
      </x:c>
      <x:c r="B3" s="16" t="n">
        <x:v>201.4</x:v>
      </x:c>
      <x:c r="C3" s="16" t="n">
        <x:v>155.5</x:v>
      </x:c>
      <x:c r="D3" s="16" t="n">
        <x:v>155.1</x:v>
      </x:c>
      <x:c r="E3" s="16" t="n">
        <x:v>160.5</x:v>
      </x:c>
      <x:c r="F3" s="16" t="n">
        <x:v>231.5</x:v>
      </x:c>
      <x:c r="G3" s="16" t="n">
        <x:v>266.1</x:v>
      </x:c>
      <x:c r="H3" s="16" t="n">
        <x:v>266.6</x:v>
      </x:c>
      <x:c r="I3" s="16" t="n">
        <x:v>59.4</x:v>
      </x:c>
      <x:c r="J3" s="16" t="n">
        <x:v>43.7</x:v>
      </x:c>
      <x:c r="K3" s="16" t="n">
        <x:v>42.7</x:v>
      </x:c>
      <x:c r="L3" s="16" t="n">
        <x:v>162.2</x:v>
      </x:c>
      <x:c r="M3" s="16" t="n">
        <x:v>185.1</x:v>
      </x:c>
      <x:c r="N3" s="16" t="n">
        <x:v>196.8</x:v>
      </x:c>
      <x:c r="O3" s="16" t="n">
        <x:v>187.8</x:v>
      </x:c>
      <x:c r="P3" s="16" t="n">
        <x:v>169.9</x:v>
      </x:c>
      <x:c r="Q3" s="16" t="n">
        <x:v>161.9</x:v>
      </x:c>
      <x:c r="R3" s="16" t="n">
        <x:v>174.5</x:v>
      </x:c>
      <x:c r="S3" s="16" t="n">
        <x:v>198.2</x:v>
      </x:c>
    </x:row>
    <x:row r="4" ht="26" customHeight="1">
      <x:c r="A4" s="15" t="n">
        <x:v>46082</x:v>
      </x:c>
      <x:c r="B4" s="16" t="n">
        <x:v>198.5</x:v>
      </x:c>
      <x:c r="C4" s="16" t="n">
        <x:v>152.2</x:v>
      </x:c>
      <x:c r="D4" s="16" t="n">
        <x:v>153.9</x:v>
      </x:c>
      <x:c r="E4" s="16" t="n">
        <x:v>162</x:v>
      </x:c>
      <x:c r="F4" s="16" t="n">
        <x:v>233.7</x:v>
      </x:c>
      <x:c r="G4" s="16" t="n">
        <x:v>266.5</x:v>
      </x:c>
      <x:c r="H4" s="16" t="n">
        <x:v>264.2</x:v>
      </x:c>
      <x:c r="I4" s="16" t="n">
        <x:v>56</x:v>
      </x:c>
      <x:c r="J4" s="16" t="n">
        <x:v>41.7</x:v>
      </x:c>
      <x:c r="K4" s="16" t="n">
        <x:v>43.5</x:v>
      </x:c>
      <x:c r="L4" s="16" t="n">
        <x:v>164.5</x:v>
      </x:c>
      <x:c r="M4" s="16" t="n">
        <x:v>186.2</x:v>
      </x:c>
      <x:c r="N4" s="16" t="n">
        <x:v>195.2</x:v>
      </x:c>
      <x:c r="O4" s="16" t="n">
        <x:v>184.3</x:v>
      </x:c>
      <x:c r="P4" s="16" t="n">
        <x:v>167.3</x:v>
      </x:c>
      <x:c r="Q4" s="16" t="n">
        <x:v>161.9</x:v>
      </x:c>
      <x:c r="R4" s="16" t="n">
        <x:v>176.6</x:v>
      </x:c>
      <x:c r="S4" s="16" t="n">
        <x:v>199.9</x:v>
      </x:c>
    </x:row>
    <x:row r="5" ht="26" customHeight="1">
      <x:c r="A5" s="15" t="n">
        <x:v>46113</x:v>
      </x:c>
      <x:c r="B5" s="16" t="n">
        <x:v>195.2</x:v>
      </x:c>
      <x:c r="C5" s="16" t="n">
        <x:v>151</x:v>
      </x:c>
      <x:c r="D5" s="16" t="n">
        <x:v>155.4</x:v>
      </x:c>
      <x:c r="E5" s="16" t="n">
        <x:v>164.2</x:v>
      </x:c>
      <x:c r="F5" s="16" t="n">
        <x:v>234.1</x:v>
      </x:c>
      <x:c r="G5" s="16" t="n">
        <x:v>264.1</x:v>
      </x:c>
      <x:c r="H5" s="16" t="n">
        <x:v>260.8</x:v>
      </x:c>
      <x:c r="I5" s="16" t="n">
        <x:v>54</x:v>
      </x:c>
      <x:c r="J5" s="16" t="n">
        <x:v>42.5</x:v>
      </x:c>
      <x:c r="K5" s="16" t="n">
        <x:v>45.8</x:v>
      </x:c>
      <x:c r="L5" s="16" t="n">
        <x:v>165.6</x:v>
      </x:c>
      <x:c r="M5" s="16" t="n">
        <x:v>184.6</x:v>
      </x:c>
      <x:c r="N5" s="16" t="n">
        <x:v>191.7</x:v>
      </x:c>
      <x:c r="O5" s="16" t="n">
        <x:v>181.7</x:v>
      </x:c>
      <x:c r="P5" s="16" t="n">
        <x:v>167.3</x:v>
      </x:c>
      <x:c r="Q5" s="16" t="n">
        <x:v>164</x:v>
      </x:c>
      <x:c r="R5" s="16" t="n">
        <x:v>178.3</x:v>
      </x:c>
      <x:c r="S5" s="16" t="n">
        <x:v>199.1</x:v>
      </x:c>
    </x:row>
    <x:row r="6" ht="26" customHeight="1">
      <x:c r="A6" s="15" t="n">
        <x:v>46143</x:v>
      </x:c>
      <x:c r="B6" s="16" t="n">
        <x:v>194</x:v>
      </x:c>
      <x:c r="C6" s="16" t="n">
        <x:v>152.5</x:v>
      </x:c>
      <x:c r="D6" s="16" t="n">
        <x:v>157.6</x:v>
      </x:c>
      <x:c r="E6" s="16" t="n">
        <x:v>164.6</x:v>
      </x:c>
      <x:c r="F6" s="16" t="n">
        <x:v>231.7</x:v>
      </x:c>
      <x:c r="G6" s="16" t="n">
        <x:v>260.7</x:v>
      </x:c>
      <x:c r="H6" s="16" t="n">
        <x:v>258.8</x:v>
      </x:c>
      <x:c r="I6" s="16" t="n">
        <x:v>54.8</x:v>
      </x:c>
      <x:c r="J6" s="16" t="n">
        <x:v>44.8</x:v>
      </x:c>
      <x:c r="K6" s="16" t="n">
        <x:v>46.9</x:v>
      </x:c>
      <x:c r="L6" s="16" t="n">
        <x:v>164</x:v>
      </x:c>
      <x:c r="M6" s="16" t="n">
        <x:v>181.1</x:v>
      </x:c>
      <x:c r="N6" s="16" t="n">
        <x:v>189.1</x:v>
      </x:c>
      <x:c r="O6" s="16" t="n">
        <x:v>181.7</x:v>
      </x:c>
      <x:c r="P6" s="16" t="n">
        <x:v>169.4</x:v>
      </x:c>
      <x:c r="Q6" s="16" t="n">
        <x:v>165.7</x:v>
      </x:c>
      <x:c r="R6" s="16" t="n">
        <x:v>177.5</x:v>
      </x:c>
      <x:c r="S6" s="16" t="n">
        <x:v>196</x:v>
      </x:c>
    </x:row>
    <x:row r="7" ht="26" customHeight="1">
      <x:c r="A7" s="15" t="n">
        <x:v>46174</x:v>
      </x:c>
      <x:c r="B7" s="16" t="n">
        <x:v>195.5</x:v>
      </x:c>
      <x:c r="C7" s="16" t="n">
        <x:v>154.7</x:v>
      </x:c>
      <x:c r="D7" s="16" t="n">
        <x:v>158</x:v>
      </x:c>
      <x:c r="E7" s="16" t="n">
        <x:v>162.2</x:v>
      </x:c>
      <x:c r="F7" s="16" t="n">
        <x:v>228.3</x:v>
      </x:c>
      <x:c r="G7" s="16" t="n">
        <x:v>258.7</x:v>
      </x:c>
      <x:c r="H7" s="16" t="n">
        <x:v>259.6</x:v>
      </x:c>
      <x:c r="I7" s="16" t="n">
        <x:v>57.1</x:v>
      </x:c>
      <x:c r="J7" s="16" t="n">
        <x:v>45.9</x:v>
      </x:c>
      <x:c r="K7" s="16" t="n">
        <x:v>45.3</x:v>
      </x:c>
      <x:c r="L7" s="16" t="n">
        <x:v>160.5</x:v>
      </x:c>
      <x:c r="M7" s="16" t="n">
        <x:v>178.5</x:v>
      </x:c>
      <x:c r="N7" s="16" t="n">
        <x:v>189.1</x:v>
      </x:c>
      <x:c r="O7" s="16" t="n">
        <x:v>183.8</x:v>
      </x:c>
      <x:c r="P7" s="16" t="n">
        <x:v>171.1</x:v>
      </x:c>
      <x:c r="Q7" s="16" t="n">
        <x:v>164.9</x:v>
      </x:c>
      <x:c r="R7" s="16" t="n">
        <x:v>174.4</x:v>
      </x:c>
      <x:c r="S7" s="16" t="n">
        <x:v>192.9</x:v>
      </x:c>
    </x:row>
    <x:row r="8" ht="26" customHeight="1">
      <x:c r="A8" s="15" t="n">
        <x:v>46204</x:v>
      </x:c>
      <x:c r="B8" s="16" t="n">
        <x:v>197.7</x:v>
      </x:c>
      <x:c r="C8" s="16" t="n">
        <x:v>155.1</x:v>
      </x:c>
      <x:c r="D8" s="16" t="n">
        <x:v>155.6</x:v>
      </x:c>
      <x:c r="E8" s="16" t="n">
        <x:v>158.8</x:v>
      </x:c>
      <x:c r="F8" s="16" t="n">
        <x:v>226.3</x:v>
      </x:c>
      <x:c r="G8" s="16" t="n">
        <x:v>259.5</x:v>
      </x:c>
      <x:c r="H8" s="16" t="n">
        <x:v>261.9</x:v>
      </x:c>
      <x:c r="I8" s="16" t="n">
        <x:v>58.2</x:v>
      </x:c>
      <x:c r="J8" s="16" t="n">
        <x:v>44.3</x:v>
      </x:c>
      <x:c r="K8" s="16" t="n">
        <x:v>41.8</x:v>
      </x:c>
      <x:c r="L8" s="16" t="n">
        <x:v>157.9</x:v>
      </x:c>
      <x:c r="M8" s="16" t="n">
        <x:v>178.5</x:v>
      </x:c>
      <x:c r="N8" s="16" t="n">
        <x:v>191.2</x:v>
      </x:c>
      <x:c r="O8" s="16" t="n">
        <x:v>185.5</x:v>
      </x:c>
      <x:c r="P8" s="16" t="n">
        <x:v>170.3</x:v>
      </x:c>
      <x:c r="Q8" s="16" t="n">
        <x:v>161.8</x:v>
      </x:c>
      <x:c r="R8" s="16" t="n">
        <x:v>171.3</x:v>
      </x:c>
      <x:c r="S8" s="16" t="n">
        <x:v>192.1</x:v>
      </x:c>
    </x:row>
    <x:row r="9" ht="26" customHeight="1">
      <x:c r="A9" s="15" t="n">
        <x:v>46235</x:v>
      </x:c>
      <x:c r="B9" s="16" t="n">
        <x:v>198.1</x:v>
      </x:c>
      <x:c r="C9" s="16" t="n">
        <x:v>152.7</x:v>
      </x:c>
      <x:c r="D9" s="16" t="n">
        <x:v>152.2</x:v>
      </x:c>
      <x:c r="E9" s="16" t="n">
        <x:v>156.8</x:v>
      </x:c>
      <x:c r="F9" s="16" t="n">
        <x:v>227.1</x:v>
      </x:c>
      <x:c r="G9" s="16" t="n">
        <x:v>261.8</x:v>
      </x:c>
      <x:c r="H9" s="16" t="n">
        <x:v>263</x:v>
      </x:c>
      <x:c r="I9" s="16" t="n">
        <x:v>56.6</x:v>
      </x:c>
      <x:c r="J9" s="16" t="n">
        <x:v>40.8</x:v>
      </x:c>
      <x:c r="K9" s="16" t="n">
        <x:v>39.2</x:v>
      </x:c>
      <x:c r="L9" s="16" t="n">
        <x:v>157.9</x:v>
      </x:c>
      <x:c r="M9" s="16" t="n">
        <x:v>180.6</x:v>
      </x:c>
      <x:c r="N9" s="16" t="n">
        <x:v>192.9</x:v>
      </x:c>
      <x:c r="O9" s="16" t="n">
        <x:v>184.7</x:v>
      </x:c>
      <x:c r="P9" s="16" t="n">
        <x:v>167.2</x:v>
      </x:c>
      <x:c r="Q9" s="16" t="n">
        <x:v>158.7</x:v>
      </x:c>
      <x:c r="R9" s="16" t="n">
        <x:v>170.5</x:v>
      </x:c>
      <x:c r="S9" s="16" t="n">
        <x:v>193.8</x:v>
      </x:c>
    </x:row>
  </x:sheetData>
  <x:conditionalFormatting sqref="B2:B9">
    <x:cfRule type="expression" dxfId="18" priority="1">
      <x:formula>AND(ISNUMBER(B2),ISNUMBER(Limits!$D$20),IF(Limits!$E$20="&lt;=",B2&gt;Limits!$D$20,B2&gt;=Limits!$D$20))</x:formula>
    </x:cfRule>
  </x:conditionalFormatting>
  <x:conditionalFormatting sqref="C2:C9">
    <x:cfRule type="expression" dxfId="19" priority="2">
      <x:formula>AND(ISNUMBER(C2),ISNUMBER(Limits!$D$21),IF(Limits!$E$21="&lt;=",C2&gt;Limits!$D$21,C2&gt;=Limits!$D$21))</x:formula>
    </x:cfRule>
  </x:conditionalFormatting>
  <x:conditionalFormatting sqref="D2:D9">
    <x:cfRule type="expression" dxfId="20" priority="3">
      <x:formula>AND(ISNUMBER(D2),ISNUMBER(Limits!$D$22),IF(Limits!$E$22="&lt;=",D2&gt;Limits!$D$22,D2&gt;=Limits!$D$22))</x:formula>
    </x:cfRule>
  </x:conditionalFormatting>
  <x:conditionalFormatting sqref="E2:E9">
    <x:cfRule type="expression" dxfId="21" priority="4">
      <x:formula>AND(ISNUMBER(E2),ISNUMBER(Limits!$D$23),IF(Limits!$E$23="&lt;=",E2&gt;Limits!$D$23,E2&gt;=Limits!$D$23))</x:formula>
    </x:cfRule>
  </x:conditionalFormatting>
  <x:conditionalFormatting sqref="F2:F9">
    <x:cfRule type="expression" dxfId="22" priority="5">
      <x:formula>AND(ISNUMBER(F2),ISNUMBER(Limits!$D$24),IF(Limits!$E$24="&lt;=",F2&gt;Limits!$D$24,F2&gt;=Limits!$D$24))</x:formula>
    </x:cfRule>
  </x:conditionalFormatting>
  <x:conditionalFormatting sqref="G2:G9">
    <x:cfRule type="expression" dxfId="23" priority="6">
      <x:formula>AND(ISNUMBER(G2),ISNUMBER(Limits!$D$25),IF(Limits!$E$25="&lt;=",G2&gt;Limits!$D$25,G2&gt;=Limits!$D$25))</x:formula>
    </x:cfRule>
  </x:conditionalFormatting>
  <x:conditionalFormatting sqref="H2:H9">
    <x:cfRule type="expression" dxfId="24" priority="7">
      <x:formula>AND(ISNUMBER(H2),ISNUMBER(Limits!$D$26),IF(Limits!$E$26="&lt;=",H2&gt;Limits!$D$26,H2&gt;=Limits!$D$26))</x:formula>
    </x:cfRule>
  </x:conditionalFormatting>
  <x:conditionalFormatting sqref="I2:I9">
    <x:cfRule type="expression" dxfId="25" priority="8">
      <x:formula>AND(ISNUMBER(I2),ISNUMBER(Limits!$D$27),IF(Limits!$E$27="&lt;=",I2&gt;Limits!$D$27,I2&gt;=Limits!$D$27))</x:formula>
    </x:cfRule>
  </x:conditionalFormatting>
  <x:conditionalFormatting sqref="J2:J9">
    <x:cfRule type="expression" dxfId="26" priority="9">
      <x:formula>AND(ISNUMBER(J2),ISNUMBER(Limits!$D$28),IF(Limits!$E$28="&lt;=",J2&gt;Limits!$D$28,J2&gt;=Limits!$D$28))</x:formula>
    </x:cfRule>
  </x:conditionalFormatting>
  <x:conditionalFormatting sqref="K2:K9">
    <x:cfRule type="expression" dxfId="27" priority="10">
      <x:formula>AND(ISNUMBER(K2),ISNUMBER(Limits!$D$29),IF(Limits!$E$29="&lt;=",K2&gt;Limits!$D$29,K2&gt;=Limits!$D$29))</x:formula>
    </x:cfRule>
  </x:conditionalFormatting>
  <x:conditionalFormatting sqref="L2:L9">
    <x:cfRule type="expression" dxfId="28" priority="11">
      <x:formula>AND(ISNUMBER(L2),ISNUMBER(Limits!$D$30),IF(Limits!$E$30="&lt;=",L2&gt;Limits!$D$30,L2&gt;=Limits!$D$30))</x:formula>
    </x:cfRule>
  </x:conditionalFormatting>
  <x:conditionalFormatting sqref="M2:M9">
    <x:cfRule type="expression" dxfId="29" priority="12">
      <x:formula>AND(ISNUMBER(M2),ISNUMBER(Limits!$D$31),IF(Limits!$E$31="&lt;=",M2&gt;Limits!$D$31,M2&gt;=Limits!$D$31))</x:formula>
    </x:cfRule>
  </x:conditionalFormatting>
  <x:conditionalFormatting sqref="N2:N9">
    <x:cfRule type="expression" dxfId="30" priority="13">
      <x:formula>AND(ISNUMBER(N2),ISNUMBER(Limits!$D$32),IF(Limits!$E$32="&lt;=",N2&gt;Limits!$D$32,N2&gt;=Limits!$D$32))</x:formula>
    </x:cfRule>
  </x:conditionalFormatting>
  <x:conditionalFormatting sqref="O2:O9">
    <x:cfRule type="expression" dxfId="31" priority="14">
      <x:formula>AND(ISNUMBER(O2),ISNUMBER(Limits!$D$33),IF(Limits!$E$33="&lt;=",O2&gt;Limits!$D$33,O2&gt;=Limits!$D$33))</x:formula>
    </x:cfRule>
  </x:conditionalFormatting>
  <x:conditionalFormatting sqref="P2:P9">
    <x:cfRule type="expression" dxfId="32" priority="15">
      <x:formula>AND(ISNUMBER(P2),ISNUMBER(Limits!$D$34),IF(Limits!$E$34="&lt;=",P2&gt;Limits!$D$34,P2&gt;=Limits!$D$34))</x:formula>
    </x:cfRule>
  </x:conditionalFormatting>
  <x:conditionalFormatting sqref="Q2:Q9">
    <x:cfRule type="expression" dxfId="33" priority="16">
      <x:formula>AND(ISNUMBER(Q2),ISNUMBER(Limits!$D$35),IF(Limits!$E$35="&lt;=",Q2&gt;Limits!$D$35,Q2&gt;=Limits!$D$35))</x:formula>
    </x:cfRule>
  </x:conditionalFormatting>
  <x:conditionalFormatting sqref="R2:R9">
    <x:cfRule type="expression" dxfId="34" priority="17">
      <x:formula>AND(ISNUMBER(R2),ISNUMBER(Limits!$D$36),IF(Limits!$E$36="&lt;=",R2&gt;Limits!$D$36,R2&gt;=Limits!$D$36))</x:formula>
    </x:cfRule>
  </x:conditionalFormatting>
  <x:conditionalFormatting sqref="S2:S9">
    <x:cfRule type="expression" dxfId="35" priority="18">
      <x:formula>AND(ISNUMBER(S2),ISNUMBER(Limits!$D$37),IF(Limits!$E$37="&lt;=",S2&gt;Limits!$D$37,S2&gt;=Limits!$D$37))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39c7d93f6f4436"/>
  </x:tableParts>
</x:worksheet>
</file>

<file path=xl/worksheets/sheet4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85" customHeight="1">
      <x:c r="A1" s="14" t="str">
        <x:v>Date</x:v>
      </x:c>
      <x:c r="B1" s="14" t="str">
        <x:v>Log washing pressure · WY1/2 · P001 (bar)</x:v>
      </x:c>
      <x:c r="C1" s="14" t="str">
        <x:v>Log washing pressure · WY1/2 · P002 (bar)</x:v>
      </x:c>
      <x:c r="D1" s="14" t="str">
        <x:v>Log washing pressure · WY1/2 · P003 (bar)</x:v>
      </x:c>
      <x:c r="E1" s="14" t="str">
        <x:v>Log washing pressure · WY3 (bar)</x:v>
      </x:c>
      <x:c r="F1" s="14" t="str">
        <x:v>Log washing pressure · WY4 (bar)</x:v>
      </x:c>
      <x:c r="G1" s="14" t="str">
        <x:v>Log washing pressure · WY5 (bar)</x:v>
      </x:c>
      <x:c r="H1" s="14" t="str">
        <x:v>Log washing pressure · WY6 (bar)</x:v>
      </x:c>
    </x:row>
    <x:row r="2" ht="26" customHeight="1">
      <x:c r="A2" s="15" t="n">
        <x:f>Setup!$B$5-6</x:f>
        <x:v>46282</x:v>
      </x:c>
      <x:c r="B2" s="16" t="n">
        <x:v>6.6</x:v>
      </x:c>
      <x:c r="C2" s="16" t="n">
        <x:v>7</x:v>
      </x:c>
      <x:c r="D2" s="16" t="n">
        <x:v>7.2</x:v>
      </x:c>
      <x:c r="E2" s="16" t="n">
        <x:v>7.1</x:v>
      </x:c>
      <x:c r="F2" s="16" t="n">
        <x:v>7</x:v>
      </x:c>
      <x:c r="G2" s="16" t="n">
        <x:v>7.1</x:v>
      </x:c>
      <x:c r="H2" s="16" t="n">
        <x:v>7.5</x:v>
      </x:c>
    </x:row>
    <x:row r="3" ht="26" customHeight="1">
      <x:c r="A3" s="15" t="n">
        <x:f>Setup!$B$5-5</x:f>
        <x:v>46283</x:v>
      </x:c>
      <x:c r="B3" s="16" t="n">
        <x:v>6.8</x:v>
      </x:c>
      <x:c r="C3" s="16" t="n">
        <x:v>7</x:v>
      </x:c>
      <x:c r="D3" s="16" t="n">
        <x:v>7</x:v>
      </x:c>
      <x:c r="E3" s="16" t="n">
        <x:v>6.9</x:v>
      </x:c>
      <x:c r="F3" s="16" t="n">
        <x:v>7</x:v>
      </x:c>
      <x:c r="G3" s="16" t="n">
        <x:v>7.3</x:v>
      </x:c>
      <x:c r="H3" s="16" t="n">
        <x:v>7.8</x:v>
      </x:c>
    </x:row>
    <x:row r="4" ht="26" customHeight="1">
      <x:c r="A4" s="15" t="n">
        <x:f>Setup!$B$5-4</x:f>
        <x:v>46284</x:v>
      </x:c>
      <x:c r="B4" s="16" t="n">
        <x:v>6.9</x:v>
      </x:c>
      <x:c r="C4" s="16" t="n">
        <x:v>6.8</x:v>
      </x:c>
      <x:c r="D4" s="16" t="n">
        <x:v>6.7</x:v>
      </x:c>
      <x:c r="E4" s="16" t="n">
        <x:v>6.8</x:v>
      </x:c>
      <x:c r="F4" s="16" t="n">
        <x:v>7.2</x:v>
      </x:c>
      <x:c r="G4" s="16" t="n">
        <x:v>7.6</x:v>
      </x:c>
      <x:c r="H4" s="16" t="n">
        <x:v>7.9</x:v>
      </x:c>
    </x:row>
    <x:row r="5" ht="26" customHeight="1">
      <x:c r="A5" s="15" t="n">
        <x:f>Setup!$B$5-3</x:f>
        <x:v>46285</x:v>
      </x:c>
      <x:c r="B5" s="16" t="n">
        <x:v>6.6</x:v>
      </x:c>
      <x:c r="C5" s="16" t="n">
        <x:v>6.5</x:v>
      </x:c>
      <x:c r="D5" s="16" t="n">
        <x:v>6.6</x:v>
      </x:c>
      <x:c r="E5" s="16" t="n">
        <x:v>7</x:v>
      </x:c>
      <x:c r="F5" s="16" t="n">
        <x:v>7.5</x:v>
      </x:c>
      <x:c r="G5" s="16" t="n">
        <x:v>7.7</x:v>
      </x:c>
      <x:c r="H5" s="16" t="n">
        <x:v>7.7</x:v>
      </x:c>
    </x:row>
    <x:row r="6" ht="26" customHeight="1">
      <x:c r="A6" s="15" t="n">
        <x:f>Setup!$B$5-2</x:f>
        <x:v>46286</x:v>
      </x:c>
      <x:c r="B6" s="16" t="n">
        <x:v>6.4</x:v>
      </x:c>
      <x:c r="C6" s="16" t="n">
        <x:v>6.5</x:v>
      </x:c>
      <x:c r="D6" s="16" t="n">
        <x:v>6.8</x:v>
      </x:c>
      <x:c r="E6" s="16" t="n">
        <x:v>7.3</x:v>
      </x:c>
      <x:c r="F6" s="16" t="n">
        <x:v>7.6</x:v>
      </x:c>
      <x:c r="G6" s="16" t="n">
        <x:v>7.6</x:v>
      </x:c>
      <x:c r="H6" s="16" t="n">
        <x:v>7.4</x:v>
      </x:c>
    </x:row>
    <x:row r="7" ht="26" customHeight="1">
      <x:c r="A7" s="15" t="n">
        <x:f>Setup!$B$5-1</x:f>
        <x:v>46287</x:v>
      </x:c>
      <x:c r="B7" s="16" t="n">
        <x:v>6.3</x:v>
      </x:c>
      <x:c r="C7" s="16" t="n">
        <x:v>6.7</x:v>
      </x:c>
      <x:c r="D7" s="16" t="n">
        <x:v>7.1</x:v>
      </x:c>
      <x:c r="E7" s="16" t="n">
        <x:v>7.4</x:v>
      </x:c>
      <x:c r="F7" s="16" t="n">
        <x:v>7.4</x:v>
      </x:c>
      <x:c r="G7" s="16" t="n">
        <x:v>7.3</x:v>
      </x:c>
      <x:c r="H7" s="16" t="n">
        <x:v>7.3</x:v>
      </x:c>
    </x:row>
    <x:row r="8" ht="26" customHeight="1">
      <x:c r="A8" s="15" t="n">
        <x:f>Setup!$B$5</x:f>
        <x:v>46288</x:v>
      </x:c>
      <x:c r="B8" s="16" t="n">
        <x:v>6.5</x:v>
      </x:c>
      <x:c r="C8" s="16" t="n">
        <x:v>6.9</x:v>
      </x:c>
      <x:c r="D8" s="16" t="n">
        <x:v>7.2</x:v>
      </x:c>
      <x:c r="E8" s="16" t="n">
        <x:v>7.2</x:v>
      </x:c>
      <x:c r="F8" s="16" t="n">
        <x:v>7.1</x:v>
      </x:c>
      <x:c r="G8" s="16" t="n">
        <x:v>7.1</x:v>
      </x:c>
      <x:c r="H8" s="16" t="n">
        <x:v>7.4</x:v>
      </x:c>
    </x:row>
  </x:sheetData>
  <x:conditionalFormatting sqref="B2:B8">
    <x:cfRule type="expression" dxfId="36" priority="1">
      <x:formula>AND(ISNUMBER(B2),OR(AND(ISNUMBER(Limits!$C$38),B2&lt;Limits!$C$38),AND(ISNUMBER(Limits!$D$38),B2&gt;Limits!$D$38)))</x:formula>
    </x:cfRule>
  </x:conditionalFormatting>
  <x:conditionalFormatting sqref="C2:C8">
    <x:cfRule type="expression" dxfId="37" priority="2">
      <x:formula>AND(ISNUMBER(C2),OR(AND(ISNUMBER(Limits!$C$39),C2&lt;Limits!$C$39),AND(ISNUMBER(Limits!$D$39),C2&gt;Limits!$D$39)))</x:formula>
    </x:cfRule>
  </x:conditionalFormatting>
  <x:conditionalFormatting sqref="D2:D8">
    <x:cfRule type="expression" dxfId="38" priority="3">
      <x:formula>AND(ISNUMBER(D2),OR(AND(ISNUMBER(Limits!$C$40),D2&lt;Limits!$C$40),AND(ISNUMBER(Limits!$D$40),D2&gt;Limits!$D$40)))</x:formula>
    </x:cfRule>
  </x:conditionalFormatting>
  <x:conditionalFormatting sqref="E2:E8">
    <x:cfRule type="expression" dxfId="39" priority="4">
      <x:formula>AND(ISNUMBER(E2),OR(AND(ISNUMBER(Limits!$C$41),E2&lt;Limits!$C$41),AND(ISNUMBER(Limits!$D$41),E2&gt;Limits!$D$41)))</x:formula>
    </x:cfRule>
  </x:conditionalFormatting>
  <x:conditionalFormatting sqref="F2:F8">
    <x:cfRule type="expression" dxfId="40" priority="5">
      <x:formula>AND(ISNUMBER(F2),OR(AND(ISNUMBER(Limits!$C$42),F2&lt;Limits!$C$42),AND(ISNUMBER(Limits!$D$42),F2&gt;Limits!$D$42)))</x:formula>
    </x:cfRule>
  </x:conditionalFormatting>
  <x:conditionalFormatting sqref="G2:G8">
    <x:cfRule type="expression" dxfId="41" priority="6">
      <x:formula>AND(ISNUMBER(G2),OR(AND(ISNUMBER(Limits!$C$43),G2&lt;Limits!$C$43),AND(ISNUMBER(Limits!$D$43),G2&gt;Limits!$D$43)))</x:formula>
    </x:cfRule>
  </x:conditionalFormatting>
  <x:conditionalFormatting sqref="H2:H8">
    <x:cfRule type="expression" dxfId="42" priority="7">
      <x:formula>AND(ISNUMBER(H2),OR(AND(ISNUMBER(Limits!$C$44),H2&lt;Limits!$C$44),AND(ISNUMBER(Limits!$D$44),H2&gt;Limits!$D$44)))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932f7d4eed4910"/>
  </x:tableParts>
</x:worksheet>
</file>

<file path=xl/worksheets/sheet5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85" customHeight="1">
      <x:c r="A1" s="14" t="str">
        <x:v>Date</x:v>
      </x:c>
      <x:c r="B1" s="14" t="str">
        <x:v>Chip screen / CTS bypass · FL1 · Inlet chip screen (%)</x:v>
      </x:c>
      <x:c r="C1" s="14" t="str">
        <x:v>Chip screen / CTS bypass · FL1 · CTS 341C335 (%)</x:v>
      </x:c>
      <x:c r="D1" s="14" t="str">
        <x:v>Chip screen / CTS bypass · FL1 · Master screen (%)</x:v>
      </x:c>
      <x:c r="E1" s="14" t="str">
        <x:v>Chip screen / CTS bypass · FL1 · Fines screen (%)</x:v>
      </x:c>
      <x:c r="F1" s="14" t="str">
        <x:v>Chip screen / CTS bypass · FL2 · Inlet chip screen (%)</x:v>
      </x:c>
      <x:c r="G1" s="14" t="str">
        <x:v>Chip screen / CTS bypass · FL2 · CTS 341C501 (%)</x:v>
      </x:c>
      <x:c r="H1" s="14" t="str">
        <x:v>Chip screen / CTS bypass · FL2 · Master screen (%)</x:v>
      </x:c>
      <x:c r="I1" s="14" t="str">
        <x:v>Chip screen / CTS bypass · FL2 · Fines screen (%)</x:v>
      </x:c>
    </x:row>
    <x:row r="2" ht="26" customHeight="1">
      <x:c r="A2" s="15" t="n">
        <x:f>Setup!$B$5-6</x:f>
        <x:v>46282</x:v>
      </x:c>
      <x:c r="B2" s="16" t="n">
        <x:v>11</x:v>
      </x:c>
      <x:c r="C2" s="16" t="n">
        <x:v>30.8</x:v>
      </x:c>
      <x:c r="D2" s="16" t="n">
        <x:v>35.2</x:v>
      </x:c>
      <x:c r="E2" s="16" t="n">
        <x:v>22.8</x:v>
      </x:c>
      <x:c r="F2" s="16" t="n">
        <x:v>7.9</x:v>
      </x:c>
      <x:c r="G2" s="16" t="n">
        <x:v>6.8</x:v>
      </x:c>
      <x:c r="H2" s="16" t="n">
        <x:v>23.4</x:v>
      </x:c>
      <x:c r="I2" s="16" t="n">
        <x:v>45.1</x:v>
      </x:c>
    </x:row>
    <x:row r="3" ht="26" customHeight="1">
      <x:c r="A3" s="15" t="n">
        <x:f>Setup!$B$5-5</x:f>
        <x:v>46283</x:v>
      </x:c>
      <x:c r="B3" s="16" t="n">
        <x:v>27.8</x:v>
      </x:c>
      <x:c r="C3" s="16" t="n">
        <x:v>32.2</x:v>
      </x:c>
      <x:c r="D3" s="16" t="n">
        <x:v>19.8</x:v>
      </x:c>
      <x:c r="E3" s="16" t="n">
        <x:v>4.9</x:v>
      </x:c>
      <x:c r="F3" s="16" t="n">
        <x:v>3.8</x:v>
      </x:c>
      <x:c r="G3" s="16" t="n">
        <x:v>20.4</x:v>
      </x:c>
      <x:c r="H3" s="16" t="n">
        <x:v>42.1</x:v>
      </x:c>
      <x:c r="I3" s="16" t="n">
        <x:v>51.8</x:v>
      </x:c>
    </x:row>
    <x:row r="4" ht="26" customHeight="1">
      <x:c r="A4" s="15" t="n">
        <x:f>Setup!$B$5-4</x:f>
        <x:v>46284</x:v>
      </x:c>
      <x:c r="B4" s="16" t="n">
        <x:v>29.2</x:v>
      </x:c>
      <x:c r="C4" s="16" t="n">
        <x:v>16.8</x:v>
      </x:c>
      <x:c r="D4" s="16" t="n">
        <x:v>1.9</x:v>
      </x:c>
      <x:c r="E4" s="16" t="n">
        <x:v>0.8</x:v>
      </x:c>
      <x:c r="F4" s="16" t="n">
        <x:v>17.4</x:v>
      </x:c>
      <x:c r="G4" s="16" t="n">
        <x:v>39.1</x:v>
      </x:c>
      <x:c r="H4" s="16" t="n">
        <x:v>48.8</x:v>
      </x:c>
      <x:c r="I4" s="16" t="n">
        <x:v>40.2</x:v>
      </x:c>
    </x:row>
    <x:row r="5" ht="26" customHeight="1">
      <x:c r="A5" s="15" t="n">
        <x:f>Setup!$B$5-3</x:f>
        <x:v>46285</x:v>
      </x:c>
      <x:c r="B5" s="16" t="n">
        <x:v>13.8</x:v>
      </x:c>
      <x:c r="C5" s="16" t="n">
        <x:v>0</x:v>
      </x:c>
      <x:c r="D5" s="16" t="n">
        <x:v>0</x:v>
      </x:c>
      <x:c r="E5" s="16" t="n">
        <x:v>14.4</x:v>
      </x:c>
      <x:c r="F5" s="16" t="n">
        <x:v>36.1</x:v>
      </x:c>
      <x:c r="G5" s="16" t="n">
        <x:v>45.8</x:v>
      </x:c>
      <x:c r="H5" s="16" t="n">
        <x:v>37.2</x:v>
      </x:c>
      <x:c r="I5" s="16" t="n">
        <x:v>21.1</x:v>
      </x:c>
    </x:row>
    <x:row r="6" ht="26" customHeight="1">
      <x:c r="A6" s="15" t="n">
        <x:f>Setup!$B$5-2</x:f>
        <x:v>46286</x:v>
      </x:c>
      <x:c r="B6" s="16" t="n">
        <x:v>0</x:v>
      </x:c>
      <x:c r="C6" s="16" t="n">
        <x:v>0</x:v>
      </x:c>
      <x:c r="D6" s="16" t="n">
        <x:v>11.4</x:v>
      </x:c>
      <x:c r="E6" s="16" t="n">
        <x:v>33.1</x:v>
      </x:c>
      <x:c r="F6" s="16" t="n">
        <x:v>42.8</x:v>
      </x:c>
      <x:c r="G6" s="16" t="n">
        <x:v>34.2</x:v>
      </x:c>
      <x:c r="H6" s="16" t="n">
        <x:v>18.1</x:v>
      </x:c>
      <x:c r="I6" s="16" t="n">
        <x:v>12</x:v>
      </x:c>
    </x:row>
    <x:row r="7" ht="26" customHeight="1">
      <x:c r="A7" s="15" t="n">
        <x:f>Setup!$B$5-1</x:f>
        <x:v>46287</x:v>
      </x:c>
      <x:c r="B7" s="16" t="n">
        <x:v>0</x:v>
      </x:c>
      <x:c r="C7" s="16" t="n">
        <x:v>8.4</x:v>
      </x:c>
      <x:c r="D7" s="16" t="n">
        <x:v>30.1</x:v>
      </x:c>
      <x:c r="E7" s="16" t="n">
        <x:v>39.8</x:v>
      </x:c>
      <x:c r="F7" s="16" t="n">
        <x:v>31.2</x:v>
      </x:c>
      <x:c r="G7" s="16" t="n">
        <x:v>15.1</x:v>
      </x:c>
      <x:c r="H7" s="16" t="n">
        <x:v>9</x:v>
      </x:c>
      <x:c r="I7" s="16" t="n">
        <x:v>21.3</x:v>
      </x:c>
    </x:row>
    <x:row r="8" ht="26" customHeight="1">
      <x:c r="A8" s="15" t="n">
        <x:f>Setup!$B$5</x:f>
        <x:v>46288</x:v>
      </x:c>
      <x:c r="B8" s="16" t="n">
        <x:v>5.4</x:v>
      </x:c>
      <x:c r="C8" s="16" t="n">
        <x:v>27.1</x:v>
      </x:c>
      <x:c r="D8" s="16" t="n">
        <x:v>36.8</x:v>
      </x:c>
      <x:c r="E8" s="16" t="n">
        <x:v>28.2</x:v>
      </x:c>
      <x:c r="F8" s="16" t="n">
        <x:v>12.1</x:v>
      </x:c>
      <x:c r="G8" s="16" t="n">
        <x:v>6</x:v>
      </x:c>
      <x:c r="H8" s="16" t="n">
        <x:v>18.3</x:v>
      </x:c>
      <x:c r="I8" s="16" t="n">
        <x:v>40.4</x:v>
      </x:c>
    </x:row>
  </x:sheetData>
  <x:conditionalFormatting sqref="B2:B8">
    <x:cfRule type="expression" dxfId="43" priority="1">
      <x:formula>AND(ISNUMBER(B2),OR(AND(ISNUMBER(Limits!$C$45),B2&lt;Limits!$C$45),AND(ISNUMBER(Limits!$D$45),B2&gt;Limits!$D$45)))</x:formula>
    </x:cfRule>
  </x:conditionalFormatting>
  <x:conditionalFormatting sqref="C2:C8">
    <x:cfRule type="expression" dxfId="44" priority="2">
      <x:formula>AND(ISNUMBER(C2),OR(AND(ISNUMBER(Limits!$C$46),C2&lt;Limits!$C$46),AND(ISNUMBER(Limits!$D$46),C2&gt;Limits!$D$46)))</x:formula>
    </x:cfRule>
  </x:conditionalFormatting>
  <x:conditionalFormatting sqref="D2:D8">
    <x:cfRule type="expression" dxfId="45" priority="3">
      <x:formula>AND(ISNUMBER(D2),OR(AND(ISNUMBER(Limits!$C$47),D2&lt;Limits!$C$47),AND(ISNUMBER(Limits!$D$47),D2&gt;Limits!$D$47)))</x:formula>
    </x:cfRule>
  </x:conditionalFormatting>
  <x:conditionalFormatting sqref="E2:E8">
    <x:cfRule type="expression" dxfId="46" priority="4">
      <x:formula>AND(ISNUMBER(E2),OR(AND(ISNUMBER(Limits!$C$48),E2&lt;Limits!$C$48),AND(ISNUMBER(Limits!$D$48),E2&gt;Limits!$D$48)))</x:formula>
    </x:cfRule>
  </x:conditionalFormatting>
  <x:conditionalFormatting sqref="F2:F8">
    <x:cfRule type="expression" dxfId="47" priority="5">
      <x:formula>AND(ISNUMBER(F2),OR(AND(ISNUMBER(Limits!$C$49),F2&lt;Limits!$C$49),AND(ISNUMBER(Limits!$D$49),F2&gt;Limits!$D$49)))</x:formula>
    </x:cfRule>
  </x:conditionalFormatting>
  <x:conditionalFormatting sqref="G2:G8">
    <x:cfRule type="expression" dxfId="48" priority="6">
      <x:formula>AND(ISNUMBER(G2),OR(AND(ISNUMBER(Limits!$C$50),G2&lt;Limits!$C$50),AND(ISNUMBER(Limits!$D$50),G2&gt;Limits!$D$50)))</x:formula>
    </x:cfRule>
  </x:conditionalFormatting>
  <x:conditionalFormatting sqref="H2:H8">
    <x:cfRule type="expression" dxfId="49" priority="7">
      <x:formula>AND(ISNUMBER(H2),OR(AND(ISNUMBER(Limits!$C$51),H2&lt;Limits!$C$51),AND(ISNUMBER(Limits!$D$51),H2&gt;Limits!$D$51)))</x:formula>
    </x:cfRule>
  </x:conditionalFormatting>
  <x:conditionalFormatting sqref="I2:I8">
    <x:cfRule type="expression" dxfId="50" priority="8">
      <x:formula>AND(ISNUMBER(I2),OR(AND(ISNUMBER(Limits!$C$52),I2&lt;Limits!$C$52),AND(ISNUMBER(Limits!$D$52),I2&gt;Limits!$D$52)))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984acfc0b14a66"/>
  </x:tableParts>
</x:worksheet>
</file>

<file path=xl/worksheets/sheet6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 ht="85" customHeight="1">
      <x:c r="A1" s="14" t="str">
        <x:v>Date</x:v>
      </x:c>
      <x:c r="B1" s="14" t="str">
        <x:v>Bark on chip · AE · Bark (%)</x:v>
      </x:c>
      <x:c r="C1" s="14" t="str">
        <x:v>Bark on chip · Lyocell · Bark (%)</x:v>
      </x:c>
    </x:row>
    <x:row r="2" ht="26" customHeight="1">
      <x:c r="A2" s="15" t="n">
        <x:f>Setup!$B$5-6</x:f>
        <x:v>46282</x:v>
      </x:c>
      <x:c r="B2" s="16" t="n">
        <x:v>26</x:v>
      </x:c>
      <x:c r="C2" s="16" t="n">
        <x:v>31.05</x:v>
      </x:c>
    </x:row>
    <x:row r="3" ht="26" customHeight="1">
      <x:c r="A3" s="15" t="n">
        <x:f>Setup!$B$5-5</x:f>
        <x:v>46283</x:v>
      </x:c>
      <x:c r="B3" s="16" t="n">
        <x:v>31.05</x:v>
      </x:c>
      <x:c r="C3" s="16" t="n">
        <x:v>31.46</x:v>
      </x:c>
    </x:row>
    <x:row r="4" ht="26" customHeight="1">
      <x:c r="A4" s="15" t="n">
        <x:f>Setup!$B$5-4</x:f>
        <x:v>46284</x:v>
      </x:c>
      <x:c r="B4" s="16" t="n">
        <x:v>31.46</x:v>
      </x:c>
      <x:c r="C4" s="16" t="n">
        <x:v>26.85</x:v>
      </x:c>
    </x:row>
    <x:row r="5" ht="26" customHeight="1">
      <x:c r="A5" s="15" t="n">
        <x:f>Setup!$B$5-3</x:f>
        <x:v>46285</x:v>
      </x:c>
      <x:c r="B5" s="16" t="n">
        <x:v>26.85</x:v>
      </x:c>
      <x:c r="C5" s="16" t="n">
        <x:v>21.46</x:v>
      </x:c>
    </x:row>
    <x:row r="6" ht="26" customHeight="1">
      <x:c r="A6" s="15" t="n">
        <x:f>Setup!$B$5-2</x:f>
        <x:v>46286</x:v>
      </x:c>
      <x:c r="B6" s="16" t="n">
        <x:v>21.46</x:v>
      </x:c>
      <x:c r="C6" s="16" t="n">
        <x:v>20.25</x:v>
      </x:c>
    </x:row>
    <x:row r="7" ht="26" customHeight="1">
      <x:c r="A7" s="15" t="n">
        <x:f>Setup!$B$5-1</x:f>
        <x:v>46287</x:v>
      </x:c>
      <x:c r="B7" s="16" t="n">
        <x:v>20.25</x:v>
      </x:c>
      <x:c r="C7" s="16" t="n">
        <x:v>24.32</x:v>
      </x:c>
    </x:row>
    <x:row r="8" ht="26" customHeight="1">
      <x:c r="A8" s="15" t="n">
        <x:f>Setup!$B$5</x:f>
        <x:v>46288</x:v>
      </x:c>
      <x:c r="B8" s="16" t="n">
        <x:v>24.32</x:v>
      </x:c>
      <x:c r="C8" s="16" t="n">
        <x:v>29.94</x:v>
      </x:c>
    </x:row>
  </x:sheetData>
  <x:conditionalFormatting sqref="B2:B8">
    <x:cfRule type="expression" dxfId="51" priority="1">
      <x:formula>AND(ISNUMBER(B2),OR(AND(ISNUMBER(Limits!$C$53),B2&lt;Limits!$C$53),AND(ISNUMBER(Limits!$D$53),B2&gt;Limits!$D$53)))</x:formula>
    </x:cfRule>
  </x:conditionalFormatting>
  <x:conditionalFormatting sqref="C2:C8">
    <x:cfRule type="expression" dxfId="52" priority="2">
      <x:formula>AND(ISNUMBER(C2),OR(AND(ISNUMBER(Limits!$C$54),C2&lt;Limits!$C$54),AND(ISNUMBER(Limits!$D$54),C2&gt;Limits!$D$54)))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09911768d74d15"/>
  </x:tableParts>
</x:worksheet>
</file>

<file path=xl/worksheets/sheet7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 ht="85" customHeight="1">
      <x:c r="A1" s="14" t="str">
        <x:v>Date</x:v>
      </x:c>
      <x:c r="B1" s="14" t="str">
        <x:v>Screening reject flow · FL1 quaternary screen · E032 (lps)</x:v>
      </x:c>
      <x:c r="C1" s="14" t="str">
        <x:v>Screening reject flow · FL1 quaternary screen · E108 (lps)</x:v>
      </x:c>
    </x:row>
    <x:row r="2" ht="26" customHeight="1">
      <x:c r="A2" s="15" t="n">
        <x:f>Setup!$B$5-6</x:f>
        <x:v>46282</x:v>
      </x:c>
      <x:c r="B2" s="16" t="n">
        <x:v>8.1</x:v>
      </x:c>
      <x:c r="C2" s="16" t="n">
        <x:v>8.35</x:v>
      </x:c>
    </x:row>
    <x:row r="3" ht="26" customHeight="1">
      <x:c r="A3" s="15" t="n">
        <x:f>Setup!$B$5-5</x:f>
        <x:v>46283</x:v>
      </x:c>
      <x:c r="B3" s="16" t="n">
        <x:v>8.35</x:v>
      </x:c>
      <x:c r="C3" s="16" t="n">
        <x:v>8.37</x:v>
      </x:c>
    </x:row>
    <x:row r="4" ht="26" customHeight="1">
      <x:c r="A4" s="15" t="n">
        <x:f>Setup!$B$5-4</x:f>
        <x:v>46284</x:v>
      </x:c>
      <x:c r="B4" s="16" t="n">
        <x:v>8.37</x:v>
      </x:c>
      <x:c r="C4" s="16" t="n">
        <x:v>8.14</x:v>
      </x:c>
    </x:row>
    <x:row r="5" ht="26" customHeight="1">
      <x:c r="A5" s="15" t="n">
        <x:f>Setup!$B$5-3</x:f>
        <x:v>46285</x:v>
      </x:c>
      <x:c r="B5" s="16" t="n">
        <x:v>8.14</x:v>
      </x:c>
      <x:c r="C5" s="16" t="n">
        <x:v>7.87</x:v>
      </x:c>
    </x:row>
    <x:row r="6" ht="26" customHeight="1">
      <x:c r="A6" s="15" t="n">
        <x:f>Setup!$B$5-2</x:f>
        <x:v>46286</x:v>
      </x:c>
      <x:c r="B6" s="16" t="n">
        <x:v>7.87</x:v>
      </x:c>
      <x:c r="C6" s="16" t="n">
        <x:v>7.81</x:v>
      </x:c>
    </x:row>
    <x:row r="7" ht="26" customHeight="1">
      <x:c r="A7" s="15" t="n">
        <x:f>Setup!$B$5-1</x:f>
        <x:v>46287</x:v>
      </x:c>
      <x:c r="B7" s="16" t="n">
        <x:v>7.81</x:v>
      </x:c>
      <x:c r="C7" s="16" t="n">
        <x:v>8.02</x:v>
      </x:c>
    </x:row>
    <x:row r="8" ht="26" customHeight="1">
      <x:c r="A8" s="15" t="n">
        <x:f>Setup!$B$5</x:f>
        <x:v>46288</x:v>
      </x:c>
      <x:c r="B8" s="16" t="n">
        <x:v>8.02</x:v>
      </x:c>
      <x:c r="C8" s="16" t="n">
        <x:v>8.3</x:v>
      </x:c>
    </x:row>
  </x:sheetData>
  <x:conditionalFormatting sqref="B2:B8">
    <x:cfRule type="expression" dxfId="53" priority="1">
      <x:formula>AND(ISNUMBER(B2),OR(AND(ISNUMBER(Limits!$C$55),B2&lt;Limits!$C$55),AND(ISNUMBER(Limits!$D$55),B2&gt;Limits!$D$55)))</x:formula>
    </x:cfRule>
  </x:conditionalFormatting>
  <x:conditionalFormatting sqref="C2:C8">
    <x:cfRule type="expression" dxfId="54" priority="2">
      <x:formula>AND(ISNUMBER(C2),OR(AND(ISNUMBER(Limits!$C$56),C2&lt;Limits!$C$56),AND(ISNUMBER(Limits!$D$56),C2&gt;Limits!$D$56)))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4d32cfee41411b"/>
  </x:tableParts>
</x:worksheet>
</file>

<file path=xl/worksheets/sheet8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85" customHeight="1">
      <x:c r="A1" s="14" t="str">
        <x:v>Date</x:v>
      </x:c>
      <x:c r="B1" s="14" t="str">
        <x:v>Screening operation · Primary screen junk traps · Online (%)</x:v>
      </x:c>
      <x:c r="C1" s="14" t="str">
        <x:v>Screening operation · Primary screen junk traps · Available (%)</x:v>
      </x:c>
      <x:c r="D1" s="14" t="str">
        <x:v>Screening operation · 2nd / 3rd / 4th trap system · Online (%)</x:v>
      </x:c>
      <x:c r="E1" s="14" t="str">
        <x:v>Screening operation · 2nd / 3rd / 4th trap system · Available (%)</x:v>
      </x:c>
      <x:c r="F1" s="14" t="str">
        <x:v>Screening operation · Cyclones 84–87 · Online (%)</x:v>
      </x:c>
      <x:c r="G1" s="14" t="str">
        <x:v>Screening operation · Cyclones 84–87 · Available (%)</x:v>
      </x:c>
    </x:row>
    <x:row r="2" ht="26" customHeight="1">
      <x:c r="A2" s="15" t="n">
        <x:f>Setup!$B$5-6</x:f>
        <x:v>46282</x:v>
      </x:c>
      <x:c r="B2" s="16" t="n">
        <x:v>93</x:v>
      </x:c>
      <x:c r="C2" s="16" t="n">
        <x:v>94.68</x:v>
      </x:c>
      <x:c r="D2" s="16" t="n">
        <x:v>94</x:v>
      </x:c>
      <x:c r="E2" s="16" t="n">
        <x:v>95.68</x:v>
      </x:c>
      <x:c r="F2" s="16" t="n">
        <x:v>95</x:v>
      </x:c>
      <x:c r="G2" s="16" t="n">
        <x:v>96.68</x:v>
      </x:c>
    </x:row>
    <x:row r="3" ht="26" customHeight="1">
      <x:c r="A3" s="15" t="n">
        <x:f>Setup!$B$5-5</x:f>
        <x:v>46283</x:v>
      </x:c>
      <x:c r="B3" s="16" t="n">
        <x:v>94.68</x:v>
      </x:c>
      <x:c r="C3" s="16" t="n">
        <x:v>94.82</x:v>
      </x:c>
      <x:c r="D3" s="16" t="n">
        <x:v>95.68</x:v>
      </x:c>
      <x:c r="E3" s="16" t="n">
        <x:v>95.82</x:v>
      </x:c>
      <x:c r="F3" s="16" t="n">
        <x:v>96.68</x:v>
      </x:c>
      <x:c r="G3" s="16" t="n">
        <x:v>96.82</x:v>
      </x:c>
    </x:row>
    <x:row r="4" ht="26" customHeight="1">
      <x:c r="A4" s="15" t="n">
        <x:f>Setup!$B$5-4</x:f>
        <x:v>46284</x:v>
      </x:c>
      <x:c r="B4" s="16" t="n">
        <x:v>94.82</x:v>
      </x:c>
      <x:c r="C4" s="16" t="n">
        <x:v>93.28</x:v>
      </x:c>
      <x:c r="D4" s="16" t="n">
        <x:v>95.82</x:v>
      </x:c>
      <x:c r="E4" s="16" t="n">
        <x:v>94.28</x:v>
      </x:c>
      <x:c r="F4" s="16" t="n">
        <x:v>96.82</x:v>
      </x:c>
      <x:c r="G4" s="16" t="n">
        <x:v>95.28</x:v>
      </x:c>
    </x:row>
    <x:row r="5" ht="26" customHeight="1">
      <x:c r="A5" s="15" t="n">
        <x:f>Setup!$B$5-3</x:f>
        <x:v>46285</x:v>
      </x:c>
      <x:c r="B5" s="16" t="n">
        <x:v>93.28</x:v>
      </x:c>
      <x:c r="C5" s="16" t="n">
        <x:v>91.49</x:v>
      </x:c>
      <x:c r="D5" s="16" t="n">
        <x:v>94.28</x:v>
      </x:c>
      <x:c r="E5" s="16" t="n">
        <x:v>92.49</x:v>
      </x:c>
      <x:c r="F5" s="16" t="n">
        <x:v>95.28</x:v>
      </x:c>
      <x:c r="G5" s="16" t="n">
        <x:v>93.49</x:v>
      </x:c>
    </x:row>
    <x:row r="6" ht="26" customHeight="1">
      <x:c r="A6" s="15" t="n">
        <x:f>Setup!$B$5-2</x:f>
        <x:v>46286</x:v>
      </x:c>
      <x:c r="B6" s="16" t="n">
        <x:v>91.49</x:v>
      </x:c>
      <x:c r="C6" s="16" t="n">
        <x:v>91.08</x:v>
      </x:c>
      <x:c r="D6" s="16" t="n">
        <x:v>92.49</x:v>
      </x:c>
      <x:c r="E6" s="16" t="n">
        <x:v>92.08</x:v>
      </x:c>
      <x:c r="F6" s="16" t="n">
        <x:v>93.49</x:v>
      </x:c>
      <x:c r="G6" s="16" t="n">
        <x:v>93.08</x:v>
      </x:c>
    </x:row>
    <x:row r="7" ht="26" customHeight="1">
      <x:c r="A7" s="15" t="n">
        <x:f>Setup!$B$5-1</x:f>
        <x:v>46287</x:v>
      </x:c>
      <x:c r="B7" s="16" t="n">
        <x:v>91.08</x:v>
      </x:c>
      <x:c r="C7" s="16" t="n">
        <x:v>92.44</x:v>
      </x:c>
      <x:c r="D7" s="16" t="n">
        <x:v>92.08</x:v>
      </x:c>
      <x:c r="E7" s="16" t="n">
        <x:v>93.44</x:v>
      </x:c>
      <x:c r="F7" s="16" t="n">
        <x:v>93.08</x:v>
      </x:c>
      <x:c r="G7" s="16" t="n">
        <x:v>94.44</x:v>
      </x:c>
    </x:row>
    <x:row r="8" ht="26" customHeight="1">
      <x:c r="A8" s="15" t="n">
        <x:f>Setup!$B$5</x:f>
        <x:v>46288</x:v>
      </x:c>
      <x:c r="B8" s="16" t="n">
        <x:v>92.44</x:v>
      </x:c>
      <x:c r="C8" s="16" t="n">
        <x:v>94.31</x:v>
      </x:c>
      <x:c r="D8" s="16" t="n">
        <x:v>93.44</x:v>
      </x:c>
      <x:c r="E8" s="16" t="n">
        <x:v>95.31</x:v>
      </x:c>
      <x:c r="F8" s="16" t="n">
        <x:v>94.44</x:v>
      </x:c>
      <x:c r="G8" s="16" t="n">
        <x:v>96.31</x:v>
      </x:c>
    </x:row>
  </x:sheetData>
  <x:conditionalFormatting sqref="B2:B8">
    <x:cfRule type="expression" dxfId="55" priority="1">
      <x:formula>AND(ISNUMBER(B2),OR(AND(ISNUMBER(Limits!$C$57),B2&lt;Limits!$C$57),AND(ISNUMBER(Limits!$D$57),B2&gt;Limits!$D$57)))</x:formula>
    </x:cfRule>
  </x:conditionalFormatting>
  <x:conditionalFormatting sqref="C2:C8">
    <x:cfRule type="expression" dxfId="56" priority="2">
      <x:formula>AND(ISNUMBER(C2),OR(AND(ISNUMBER(Limits!$C$58),C2&lt;Limits!$C$58),AND(ISNUMBER(Limits!$D$58),C2&gt;Limits!$D$58)))</x:formula>
    </x:cfRule>
  </x:conditionalFormatting>
  <x:conditionalFormatting sqref="D2:D8">
    <x:cfRule type="expression" dxfId="57" priority="3">
      <x:formula>AND(ISNUMBER(D2),OR(AND(ISNUMBER(Limits!$C$59),D2&lt;Limits!$C$59),AND(ISNUMBER(Limits!$D$59),D2&gt;Limits!$D$59)))</x:formula>
    </x:cfRule>
  </x:conditionalFormatting>
  <x:conditionalFormatting sqref="E2:E8">
    <x:cfRule type="expression" dxfId="58" priority="4">
      <x:formula>AND(ISNUMBER(E2),OR(AND(ISNUMBER(Limits!$C$60),E2&lt;Limits!$C$60),AND(ISNUMBER(Limits!$D$60),E2&gt;Limits!$D$60)))</x:formula>
    </x:cfRule>
  </x:conditionalFormatting>
  <x:conditionalFormatting sqref="F2:F8">
    <x:cfRule type="expression" dxfId="59" priority="5">
      <x:formula>AND(ISNUMBER(F2),OR(AND(ISNUMBER(Limits!$C$61),F2&lt;Limits!$C$61),AND(ISNUMBER(Limits!$D$61),F2&gt;Limits!$D$61)))</x:formula>
    </x:cfRule>
  </x:conditionalFormatting>
  <x:conditionalFormatting sqref="G2:G8">
    <x:cfRule type="expression" dxfId="60" priority="6">
      <x:formula>AND(ISNUMBER(G2),OR(AND(ISNUMBER(Limits!$C$62),G2&lt;Limits!$C$62),AND(ISNUMBER(Limits!$D$62),G2&gt;Limits!$D$62)))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95c9fd3ced4a27"/>
  </x:tableParts>
</x:worksheet>
</file>

<file path=xl/worksheets/sheet9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85" customHeight="1">
      <x:c r="A1" s="14" t="str">
        <x:v>Date</x:v>
      </x:c>
      <x:c r="B1" s="14" t="str">
        <x:v>Bleaching pH · FL1 D0 · Lab (pH)</x:v>
      </x:c>
      <x:c r="C1" s="14" t="str">
        <x:v>Bleaching pH · FL1 D1 · Lab (pH)</x:v>
      </x:c>
      <x:c r="D1" s="14" t="str">
        <x:v>Bleaching pH · FL1 D2 STP · Lab (pH)</x:v>
      </x:c>
      <x:c r="E1" s="14" t="str">
        <x:v>Bleaching pH · FL1 D2 STP · Online (pH)</x:v>
      </x:c>
    </x:row>
    <x:row r="2" ht="26" customHeight="1">
      <x:c r="A2" s="15" t="n">
        <x:f>Setup!$B$5-6</x:f>
        <x:v>46282</x:v>
      </x:c>
      <x:c r="B2" s="16" t="n">
        <x:v>2.45</x:v>
      </x:c>
      <x:c r="C2" s="16" t="n">
        <x:v>4.59</x:v>
      </x:c>
      <x:c r="D2" s="16" t="n">
        <x:v>4.62</x:v>
      </x:c>
      <x:c r="E2" s="16" t="n">
        <x:v>4</x:v>
      </x:c>
    </x:row>
    <x:row r="3" ht="26" customHeight="1">
      <x:c r="A3" s="15" t="n">
        <x:f>Setup!$B$5-5</x:f>
        <x:v>46283</x:v>
      </x:c>
      <x:c r="B3" s="16" t="n">
        <x:v>2.53</x:v>
      </x:c>
      <x:c r="C3" s="16" t="n">
        <x:v>4.62</x:v>
      </x:c>
      <x:c r="D3" s="16" t="n">
        <x:v>4.35</x:v>
      </x:c>
      <x:c r="E3" s="16" t="n">
        <x:v>4.11</x:v>
      </x:c>
    </x:row>
    <x:row r="4" ht="26" customHeight="1">
      <x:c r="A4" s="15" t="n">
        <x:f>Setup!$B$5-4</x:f>
        <x:v>46284</x:v>
      </x:c>
      <x:c r="B4" s="16" t="n">
        <x:v>2.54</x:v>
      </x:c>
      <x:c r="C4" s="16" t="n">
        <x:v>4.35</x:v>
      </x:c>
      <x:c r="D4" s="16" t="n">
        <x:v>4.04</x:v>
      </x:c>
      <x:c r="E4" s="16" t="n">
        <x:v>4.12</x:v>
      </x:c>
    </x:row>
    <x:row r="5" ht="26" customHeight="1">
      <x:c r="A5" s="15" t="n">
        <x:f>Setup!$B$5-3</x:f>
        <x:v>46285</x:v>
      </x:c>
      <x:c r="B5" s="16" t="n">
        <x:v>2.46</x:v>
      </x:c>
      <x:c r="C5" s="16" t="n">
        <x:v>4.04</x:v>
      </x:c>
      <x:c r="D5" s="16" t="n">
        <x:v>3.96</x:v>
      </x:c>
      <x:c r="E5" s="16" t="n">
        <x:v>4.02</x:v>
      </x:c>
    </x:row>
    <x:row r="6" ht="26" customHeight="1">
      <x:c r="A6" s="15" t="n">
        <x:f>Setup!$B$5-2</x:f>
        <x:v>46286</x:v>
      </x:c>
      <x:c r="B6" s="16" t="n">
        <x:v>2.37</x:v>
      </x:c>
      <x:c r="C6" s="16" t="n">
        <x:v>3.96</x:v>
      </x:c>
      <x:c r="D6" s="16" t="n">
        <x:v>4.2</x:v>
      </x:c>
      <x:c r="E6" s="16" t="n">
        <x:v>3.9</x:v>
      </x:c>
    </x:row>
    <x:row r="7" ht="26" customHeight="1">
      <x:c r="A7" s="15" t="n">
        <x:f>Setup!$B$5-1</x:f>
        <x:v>46287</x:v>
      </x:c>
      <x:c r="B7" s="16" t="n">
        <x:v>2.35</x:v>
      </x:c>
      <x:c r="C7" s="16" t="n">
        <x:v>4.2</x:v>
      </x:c>
      <x:c r="D7" s="16" t="n">
        <x:v>4.53</x:v>
      </x:c>
      <x:c r="E7" s="16" t="n">
        <x:v>3.88</x:v>
      </x:c>
    </x:row>
    <x:row r="8" ht="26" customHeight="1">
      <x:c r="A8" s="15" t="n">
        <x:f>Setup!$B$5</x:f>
        <x:v>46288</x:v>
      </x:c>
      <x:c r="B8" s="16" t="n">
        <x:v>2.42</x:v>
      </x:c>
      <x:c r="C8" s="16" t="n">
        <x:v>4.53</x:v>
      </x:c>
      <x:c r="D8" s="16" t="n">
        <x:v>4.65</x:v>
      </x:c>
      <x:c r="E8" s="16" t="n">
        <x:v>3.96</x:v>
      </x:c>
    </x:row>
  </x:sheetData>
  <x:conditionalFormatting sqref="B2:B8">
    <x:cfRule type="expression" dxfId="61" priority="1">
      <x:formula>AND(ISNUMBER(B2),OR(AND(ISNUMBER(Limits!$C$63),B2&lt;Limits!$C$63),AND(ISNUMBER(Limits!$D$63),B2&gt;Limits!$D$63)))</x:formula>
    </x:cfRule>
  </x:conditionalFormatting>
  <x:conditionalFormatting sqref="C2:C8">
    <x:cfRule type="expression" dxfId="62" priority="2">
      <x:formula>AND(ISNUMBER(C2),OR(AND(ISNUMBER(Limits!$C$64),C2&lt;Limits!$C$64),AND(ISNUMBER(Limits!$D$64),C2&gt;Limits!$D$64)))</x:formula>
    </x:cfRule>
  </x:conditionalFormatting>
  <x:conditionalFormatting sqref="D2:D8">
    <x:cfRule type="expression" dxfId="63" priority="3">
      <x:formula>AND(ISNUMBER(D2),OR(AND(ISNUMBER(Limits!$C$65),D2&lt;Limits!$C$65),AND(ISNUMBER(Limits!$D$65),D2&gt;Limits!$D$65)))</x:formula>
    </x:cfRule>
  </x:conditionalFormatting>
  <x:conditionalFormatting sqref="E2:E8">
    <x:cfRule type="expression" dxfId="64" priority="4">
      <x:formula>AND(ISNUMBER(E2),OR(AND(ISNUMBER(Limits!$C$66),E2&lt;Limits!$C$66),AND(ISNUMBER(Limits!$D$66),E2&gt;Limits!$D$66)))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853b732a88456d"/>
  </x:tableParts>
</x:worksheet>
</file>

<file path=xl/worksheets/sheet10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85" customHeight="1">
      <x:c r="A1" s="14" t="str">
        <x:v>Date</x:v>
      </x:c>
      <x:c r="B1" s="14" t="str">
        <x:v>OV reject · PD1 Old line · Stage 4 (%)</x:v>
      </x:c>
      <x:c r="C1" s="14" t="str">
        <x:v>OV reject · PD1 Old line · Stage 5 (%)</x:v>
      </x:c>
      <x:c r="D1" s="14" t="str">
        <x:v>OV reject · PD1 Old line · Stage 6 (%)</x:v>
      </x:c>
      <x:c r="E1" s="14" t="str">
        <x:v>OV reject · PD1 New line · Stage 4 (%)</x:v>
      </x:c>
      <x:c r="F1" s="14" t="str">
        <x:v>OV reject · PD1 New line · Stage 5 (%)</x:v>
      </x:c>
      <x:c r="G1" s="14" t="str">
        <x:v>OV reject · PD1 New line · Stage 6 (%)</x:v>
      </x:c>
      <x:c r="H1" s="14" t="str">
        <x:v>OV reject · PD2 Old line · Stage 4 (%)</x:v>
      </x:c>
      <x:c r="I1" s="14" t="str">
        <x:v>OV reject · PD2 Old line · Stage 5 (%)</x:v>
      </x:c>
      <x:c r="J1" s="14" t="str">
        <x:v>OV reject · PD2 Old line · Stage 6 (%)</x:v>
      </x:c>
      <x:c r="K1" s="14" t="str">
        <x:v>OV reject · PD2 New line · Stage 4 (%)</x:v>
      </x:c>
      <x:c r="L1" s="14" t="str">
        <x:v>OV reject · PD2 New line · Stage 5 (%)</x:v>
      </x:c>
      <x:c r="M1" s="14" t="str">
        <x:v>OV reject · PD2 New line · Stage 6 (%)</x:v>
      </x:c>
      <x:c r="N1" s="14" t="str">
        <x:v>OV reject · PD3 Line 1 · Stage 4 (%)</x:v>
      </x:c>
      <x:c r="O1" s="14" t="str">
        <x:v>OV reject · PD3 Line 1 · Stage 5 (%)</x:v>
      </x:c>
      <x:c r="P1" s="14" t="str">
        <x:v>OV reject · PD3 Line 1 · Stage 6 (%)</x:v>
      </x:c>
      <x:c r="Q1" s="14" t="str">
        <x:v>OV reject · PD3 Line 2 · Stage 4 (%)</x:v>
      </x:c>
      <x:c r="R1" s="14" t="str">
        <x:v>OV reject · PD3 Line 2 · Stage 5 (%)</x:v>
      </x:c>
      <x:c r="S1" s="14" t="str">
        <x:v>OV reject · PD3 Line 2 · Stage 6 (%)</x:v>
      </x:c>
      <x:c r="T1" s="14" t="str">
        <x:v>OV reject · PD3 Line 3 · Stage 7 (%)</x:v>
      </x:c>
    </x:row>
    <x:row r="2" ht="26" customHeight="1">
      <x:c r="A2" s="15" t="n">
        <x:f>Setup!$B$5-6</x:f>
        <x:v>46282</x:v>
      </x:c>
      <x:c r="B2" s="16" t="n">
        <x:v>58</x:v>
      </x:c>
      <x:c r="C2" s="16" t="n">
        <x:v>65</x:v>
      </x:c>
      <x:c r="D2" s="16" t="n">
        <x:v>72</x:v>
      </x:c>
      <x:c r="E2" s="16" t="n">
        <x:v>65.21</x:v>
      </x:c>
      <x:c r="F2" s="16" t="n">
        <x:v>72.21</x:v>
      </x:c>
      <x:c r="G2" s="16" t="n">
        <x:v>79.21</x:v>
      </x:c>
      <x:c r="H2" s="16" t="n">
        <x:v>68.55</x:v>
      </x:c>
      <x:c r="I2" s="16" t="n">
        <x:v>75.55</x:v>
      </x:c>
      <x:c r="J2" s="16" t="n">
        <x:v>82.55</x:v>
      </x:c>
      <x:c r="K2" s="16" t="n">
        <x:v>67.71</x:v>
      </x:c>
      <x:c r="L2" s="16" t="n">
        <x:v>74.71</x:v>
      </x:c>
      <x:c r="M2" s="16" t="n">
        <x:v>81.71</x:v>
      </x:c>
      <x:c r="N2" s="16" t="n">
        <x:v>66.22</x:v>
      </x:c>
      <x:c r="O2" s="16" t="n">
        <x:v>73.22</x:v>
      </x:c>
      <x:c r="P2" s="16" t="n">
        <x:v>80.22</x:v>
      </x:c>
      <x:c r="Q2" s="16" t="n">
        <x:v>68.21</x:v>
      </x:c>
      <x:c r="R2" s="16" t="n">
        <x:v>75.21</x:v>
      </x:c>
      <x:c r="S2" s="16" t="n">
        <x:v>82.21</x:v>
      </x:c>
      <x:c r="T2" s="16" t="n">
        <x:v>74.6</x:v>
      </x:c>
    </x:row>
    <x:row r="3" ht="26" customHeight="1">
      <x:c r="A3" s="15" t="n">
        <x:f>Setup!$B$5-5</x:f>
        <x:v>46283</x:v>
      </x:c>
      <x:c r="B3" s="16" t="n">
        <x:v>62.21</x:v>
      </x:c>
      <x:c r="C3" s="16" t="n">
        <x:v>69.21</x:v>
      </x:c>
      <x:c r="D3" s="16" t="n">
        <x:v>76.21</x:v>
      </x:c>
      <x:c r="E3" s="16" t="n">
        <x:v>65.55</x:v>
      </x:c>
      <x:c r="F3" s="16" t="n">
        <x:v>72.55</x:v>
      </x:c>
      <x:c r="G3" s="16" t="n">
        <x:v>79.55</x:v>
      </x:c>
      <x:c r="H3" s="16" t="n">
        <x:v>64.71</x:v>
      </x:c>
      <x:c r="I3" s="16" t="n">
        <x:v>71.71</x:v>
      </x:c>
      <x:c r="J3" s="16" t="n">
        <x:v>78.71</x:v>
      </x:c>
      <x:c r="K3" s="16" t="n">
        <x:v>63.22</x:v>
      </x:c>
      <x:c r="L3" s="16" t="n">
        <x:v>70.22</x:v>
      </x:c>
      <x:c r="M3" s="16" t="n">
        <x:v>77.22</x:v>
      </x:c>
      <x:c r="N3" s="16" t="n">
        <x:v>65.21</x:v>
      </x:c>
      <x:c r="O3" s="16" t="n">
        <x:v>72.21</x:v>
      </x:c>
      <x:c r="P3" s="16" t="n">
        <x:v>79.21</x:v>
      </x:c>
      <x:c r="Q3" s="16" t="n">
        <x:v>71.6</x:v>
      </x:c>
      <x:c r="R3" s="16" t="n">
        <x:v>78.6</x:v>
      </x:c>
      <x:c r="S3" s="16" t="n">
        <x:v>85.6</x:v>
      </x:c>
      <x:c r="T3" s="16" t="n">
        <x:v>79.28</x:v>
      </x:c>
    </x:row>
    <x:row r="4" ht="26" customHeight="1">
      <x:c r="A4" s="15" t="n">
        <x:f>Setup!$B$5-4</x:f>
        <x:v>46284</x:v>
      </x:c>
      <x:c r="B4" s="16" t="n">
        <x:v>62.55</x:v>
      </x:c>
      <x:c r="C4" s="16" t="n">
        <x:v>69.55</x:v>
      </x:c>
      <x:c r="D4" s="16" t="n">
        <x:v>76.55</x:v>
      </x:c>
      <x:c r="E4" s="16" t="n">
        <x:v>61.71</x:v>
      </x:c>
      <x:c r="F4" s="16" t="n">
        <x:v>68.71</x:v>
      </x:c>
      <x:c r="G4" s="16" t="n">
        <x:v>75.71</x:v>
      </x:c>
      <x:c r="H4" s="16" t="n">
        <x:v>60.22</x:v>
      </x:c>
      <x:c r="I4" s="16" t="n">
        <x:v>67.22</x:v>
      </x:c>
      <x:c r="J4" s="16" t="n">
        <x:v>74.22</x:v>
      </x:c>
      <x:c r="K4" s="16" t="n">
        <x:v>62.21</x:v>
      </x:c>
      <x:c r="L4" s="16" t="n">
        <x:v>69.21</x:v>
      </x:c>
      <x:c r="M4" s="16" t="n">
        <x:v>76.21</x:v>
      </x:c>
      <x:c r="N4" s="16" t="n">
        <x:v>68.6</x:v>
      </x:c>
      <x:c r="O4" s="16" t="n">
        <x:v>75.6</x:v>
      </x:c>
      <x:c r="P4" s="16" t="n">
        <x:v>82.6</x:v>
      </x:c>
      <x:c r="Q4" s="16" t="n">
        <x:v>76.28</x:v>
      </x:c>
      <x:c r="R4" s="16" t="n">
        <x:v>83.28</x:v>
      </x:c>
      <x:c r="S4" s="16" t="n">
        <x:v>90.28</x:v>
      </x:c>
      <x:c r="T4" s="16" t="n">
        <x:v>80.95</x:v>
      </x:c>
    </x:row>
    <x:row r="5" ht="26" customHeight="1">
      <x:c r="A5" s="15" t="n">
        <x:f>Setup!$B$5-3</x:f>
        <x:v>46285</x:v>
      </x:c>
      <x:c r="B5" s="16" t="n">
        <x:v>58.71</x:v>
      </x:c>
      <x:c r="C5" s="16" t="n">
        <x:v>65.71</x:v>
      </x:c>
      <x:c r="D5" s="16" t="n">
        <x:v>72.71</x:v>
      </x:c>
      <x:c r="E5" s="16" t="n">
        <x:v>57.22</x:v>
      </x:c>
      <x:c r="F5" s="16" t="n">
        <x:v>64.22</x:v>
      </x:c>
      <x:c r="G5" s="16" t="n">
        <x:v>71.22</x:v>
      </x:c>
      <x:c r="H5" s="16" t="n">
        <x:v>59.21</x:v>
      </x:c>
      <x:c r="I5" s="16" t="n">
        <x:v>66.21</x:v>
      </x:c>
      <x:c r="J5" s="16" t="n">
        <x:v>73.21</x:v>
      </x:c>
      <x:c r="K5" s="16" t="n">
        <x:v>65.6</x:v>
      </x:c>
      <x:c r="L5" s="16" t="n">
        <x:v>72.6</x:v>
      </x:c>
      <x:c r="M5" s="16" t="n">
        <x:v>79.6</x:v>
      </x:c>
      <x:c r="N5" s="16" t="n">
        <x:v>73.28</x:v>
      </x:c>
      <x:c r="O5" s="16" t="n">
        <x:v>80.28</x:v>
      </x:c>
      <x:c r="P5" s="16" t="n">
        <x:v>87.28</x:v>
      </x:c>
      <x:c r="Q5" s="16" t="n">
        <x:v>77.95</x:v>
      </x:c>
      <x:c r="R5" s="16" t="n">
        <x:v>84.95</x:v>
      </x:c>
      <x:c r="S5" s="16" t="n">
        <x:v>91.95</x:v>
      </x:c>
      <x:c r="T5" s="16" t="n">
        <x:v>78.06</x:v>
      </x:c>
    </x:row>
    <x:row r="6" ht="26" customHeight="1">
      <x:c r="A6" s="15" t="n">
        <x:f>Setup!$B$5-2</x:f>
        <x:v>46286</x:v>
      </x:c>
      <x:c r="B6" s="16" t="n">
        <x:v>54.22</x:v>
      </x:c>
      <x:c r="C6" s="16" t="n">
        <x:v>61.22</x:v>
      </x:c>
      <x:c r="D6" s="16" t="n">
        <x:v>68.22</x:v>
      </x:c>
      <x:c r="E6" s="16" t="n">
        <x:v>56.21</x:v>
      </x:c>
      <x:c r="F6" s="16" t="n">
        <x:v>63.21</x:v>
      </x:c>
      <x:c r="G6" s="16" t="n">
        <x:v>70.21</x:v>
      </x:c>
      <x:c r="H6" s="16" t="n">
        <x:v>62.6</x:v>
      </x:c>
      <x:c r="I6" s="16" t="n">
        <x:v>69.6</x:v>
      </x:c>
      <x:c r="J6" s="16" t="n">
        <x:v>76.6</x:v>
      </x:c>
      <x:c r="K6" s="16" t="n">
        <x:v>70.28</x:v>
      </x:c>
      <x:c r="L6" s="16" t="n">
        <x:v>77.28</x:v>
      </x:c>
      <x:c r="M6" s="16" t="n">
        <x:v>84.28</x:v>
      </x:c>
      <x:c r="N6" s="16" t="n">
        <x:v>74.95</x:v>
      </x:c>
      <x:c r="O6" s="16" t="n">
        <x:v>81.95</x:v>
      </x:c>
      <x:c r="P6" s="16" t="n">
        <x:v>88.95</x:v>
      </x:c>
      <x:c r="Q6" s="16" t="n">
        <x:v>75.06</x:v>
      </x:c>
      <x:c r="R6" s="16" t="n">
        <x:v>82.06</x:v>
      </x:c>
      <x:c r="S6" s="16" t="n">
        <x:v>89.06</x:v>
      </x:c>
      <x:c r="T6" s="16" t="n">
        <x:v>73.28</x:v>
      </x:c>
    </x:row>
    <x:row r="7" ht="26" customHeight="1">
      <x:c r="A7" s="15" t="n">
        <x:f>Setup!$B$5-1</x:f>
        <x:v>46287</x:v>
      </x:c>
      <x:c r="B7" s="16" t="n">
        <x:v>53.21</x:v>
      </x:c>
      <x:c r="C7" s="16" t="n">
        <x:v>60.21</x:v>
      </x:c>
      <x:c r="D7" s="16" t="n">
        <x:v>67.21</x:v>
      </x:c>
      <x:c r="E7" s="16" t="n">
        <x:v>59.6</x:v>
      </x:c>
      <x:c r="F7" s="16" t="n">
        <x:v>66.6</x:v>
      </x:c>
      <x:c r="G7" s="16" t="n">
        <x:v>73.6</x:v>
      </x:c>
      <x:c r="H7" s="16" t="n">
        <x:v>67.28</x:v>
      </x:c>
      <x:c r="I7" s="16" t="n">
        <x:v>74.28</x:v>
      </x:c>
      <x:c r="J7" s="16" t="n">
        <x:v>81.28</x:v>
      </x:c>
      <x:c r="K7" s="16" t="n">
        <x:v>71.95</x:v>
      </x:c>
      <x:c r="L7" s="16" t="n">
        <x:v>78.95</x:v>
      </x:c>
      <x:c r="M7" s="16" t="n">
        <x:v>85.95</x:v>
      </x:c>
      <x:c r="N7" s="16" t="n">
        <x:v>72.06</x:v>
      </x:c>
      <x:c r="O7" s="16" t="n">
        <x:v>79.06</x:v>
      </x:c>
      <x:c r="P7" s="16" t="n">
        <x:v>86.06</x:v>
      </x:c>
      <x:c r="Q7" s="16" t="n">
        <x:v>70.28</x:v>
      </x:c>
      <x:c r="R7" s="16" t="n">
        <x:v>77.28</x:v>
      </x:c>
      <x:c r="S7" s="16" t="n">
        <x:v>84.28</x:v>
      </x:c>
      <x:c r="T7" s="16" t="n">
        <x:v>71</x:v>
      </x:c>
    </x:row>
    <x:row r="8" ht="26" customHeight="1">
      <x:c r="A8" s="15" t="n">
        <x:f>Setup!$B$5</x:f>
        <x:v>46288</x:v>
      </x:c>
      <x:c r="B8" s="16" t="n">
        <x:v>56.6</x:v>
      </x:c>
      <x:c r="C8" s="16" t="n">
        <x:v>63.6</x:v>
      </x:c>
      <x:c r="D8" s="16" t="n">
        <x:v>70.6</x:v>
      </x:c>
      <x:c r="E8" s="16" t="n">
        <x:v>64.28</x:v>
      </x:c>
      <x:c r="F8" s="16" t="n">
        <x:v>71.28</x:v>
      </x:c>
      <x:c r="G8" s="16" t="n">
        <x:v>78.28</x:v>
      </x:c>
      <x:c r="H8" s="16" t="n">
        <x:v>68.95</x:v>
      </x:c>
      <x:c r="I8" s="16" t="n">
        <x:v>75.95</x:v>
      </x:c>
      <x:c r="J8" s="16" t="n">
        <x:v>82.95</x:v>
      </x:c>
      <x:c r="K8" s="16" t="n">
        <x:v>69.06</x:v>
      </x:c>
      <x:c r="L8" s="16" t="n">
        <x:v>76.06</x:v>
      </x:c>
      <x:c r="M8" s="16" t="n">
        <x:v>83.06</x:v>
      </x:c>
      <x:c r="N8" s="16" t="n">
        <x:v>67.28</x:v>
      </x:c>
      <x:c r="O8" s="16" t="n">
        <x:v>74.28</x:v>
      </x:c>
      <x:c r="P8" s="16" t="n">
        <x:v>81.28</x:v>
      </x:c>
      <x:c r="Q8" s="16" t="n">
        <x:v>68</x:v>
      </x:c>
      <x:c r="R8" s="16" t="n">
        <x:v>75</x:v>
      </x:c>
      <x:c r="S8" s="16" t="n">
        <x:v>82</x:v>
      </x:c>
      <x:c r="T8" s="16" t="n">
        <x:v>73.32</x:v>
      </x:c>
    </x:row>
  </x:sheetData>
  <x:conditionalFormatting sqref="B2:B8">
    <x:cfRule type="expression" dxfId="65" priority="1">
      <x:formula>AND(ISNUMBER(B2),OR(AND(ISNUMBER(Limits!$C$67),B2&lt;Limits!$C$67),AND(ISNUMBER(Limits!$D$67),B2&gt;Limits!$D$67)))</x:formula>
    </x:cfRule>
  </x:conditionalFormatting>
  <x:conditionalFormatting sqref="C2:C8">
    <x:cfRule type="expression" dxfId="66" priority="2">
      <x:formula>AND(ISNUMBER(C2),OR(AND(ISNUMBER(Limits!$C$68),C2&lt;Limits!$C$68),AND(ISNUMBER(Limits!$D$68),C2&gt;Limits!$D$68)))</x:formula>
    </x:cfRule>
  </x:conditionalFormatting>
  <x:conditionalFormatting sqref="D2:D8">
    <x:cfRule type="expression" dxfId="67" priority="3">
      <x:formula>AND(ISNUMBER(D2),OR(AND(ISNUMBER(Limits!$C$69),D2&lt;Limits!$C$69),AND(ISNUMBER(Limits!$D$69),D2&gt;Limits!$D$69)))</x:formula>
    </x:cfRule>
  </x:conditionalFormatting>
  <x:conditionalFormatting sqref="E2:E8">
    <x:cfRule type="expression" dxfId="68" priority="4">
      <x:formula>AND(ISNUMBER(E2),OR(AND(ISNUMBER(Limits!$C$70),E2&lt;Limits!$C$70),AND(ISNUMBER(Limits!$D$70),E2&gt;Limits!$D$70)))</x:formula>
    </x:cfRule>
  </x:conditionalFormatting>
  <x:conditionalFormatting sqref="F2:F8">
    <x:cfRule type="expression" dxfId="69" priority="5">
      <x:formula>AND(ISNUMBER(F2),OR(AND(ISNUMBER(Limits!$C$71),F2&lt;Limits!$C$71),AND(ISNUMBER(Limits!$D$71),F2&gt;Limits!$D$71)))</x:formula>
    </x:cfRule>
  </x:conditionalFormatting>
  <x:conditionalFormatting sqref="G2:G8">
    <x:cfRule type="expression" dxfId="70" priority="6">
      <x:formula>AND(ISNUMBER(G2),OR(AND(ISNUMBER(Limits!$C$72),G2&lt;Limits!$C$72),AND(ISNUMBER(Limits!$D$72),G2&gt;Limits!$D$72)))</x:formula>
    </x:cfRule>
  </x:conditionalFormatting>
  <x:conditionalFormatting sqref="H2:H8">
    <x:cfRule type="expression" dxfId="71" priority="7">
      <x:formula>AND(ISNUMBER(H2),OR(AND(ISNUMBER(Limits!$C$73),H2&lt;Limits!$C$73),AND(ISNUMBER(Limits!$D$73),H2&gt;Limits!$D$73)))</x:formula>
    </x:cfRule>
  </x:conditionalFormatting>
  <x:conditionalFormatting sqref="I2:I8">
    <x:cfRule type="expression" dxfId="72" priority="8">
      <x:formula>AND(ISNUMBER(I2),OR(AND(ISNUMBER(Limits!$C$74),I2&lt;Limits!$C$74),AND(ISNUMBER(Limits!$D$74),I2&gt;Limits!$D$74)))</x:formula>
    </x:cfRule>
  </x:conditionalFormatting>
  <x:conditionalFormatting sqref="J2:J8">
    <x:cfRule type="expression" dxfId="73" priority="9">
      <x:formula>AND(ISNUMBER(J2),OR(AND(ISNUMBER(Limits!$C$75),J2&lt;Limits!$C$75),AND(ISNUMBER(Limits!$D$75),J2&gt;Limits!$D$75)))</x:formula>
    </x:cfRule>
  </x:conditionalFormatting>
  <x:conditionalFormatting sqref="K2:K8">
    <x:cfRule type="expression" dxfId="74" priority="10">
      <x:formula>AND(ISNUMBER(K2),OR(AND(ISNUMBER(Limits!$C$76),K2&lt;Limits!$C$76),AND(ISNUMBER(Limits!$D$76),K2&gt;Limits!$D$76)))</x:formula>
    </x:cfRule>
  </x:conditionalFormatting>
  <x:conditionalFormatting sqref="L2:L8">
    <x:cfRule type="expression" dxfId="75" priority="11">
      <x:formula>AND(ISNUMBER(L2),OR(AND(ISNUMBER(Limits!$C$77),L2&lt;Limits!$C$77),AND(ISNUMBER(Limits!$D$77),L2&gt;Limits!$D$77)))</x:formula>
    </x:cfRule>
  </x:conditionalFormatting>
  <x:conditionalFormatting sqref="M2:M8">
    <x:cfRule type="expression" dxfId="76" priority="12">
      <x:formula>AND(ISNUMBER(M2),OR(AND(ISNUMBER(Limits!$C$78),M2&lt;Limits!$C$78),AND(ISNUMBER(Limits!$D$78),M2&gt;Limits!$D$78)))</x:formula>
    </x:cfRule>
  </x:conditionalFormatting>
  <x:conditionalFormatting sqref="N2:N8">
    <x:cfRule type="expression" dxfId="77" priority="13">
      <x:formula>AND(ISNUMBER(N2),OR(AND(ISNUMBER(Limits!$C$79),N2&lt;Limits!$C$79),AND(ISNUMBER(Limits!$D$79),N2&gt;Limits!$D$79)))</x:formula>
    </x:cfRule>
  </x:conditionalFormatting>
  <x:conditionalFormatting sqref="O2:O8">
    <x:cfRule type="expression" dxfId="78" priority="14">
      <x:formula>AND(ISNUMBER(O2),OR(AND(ISNUMBER(Limits!$C$80),O2&lt;Limits!$C$80),AND(ISNUMBER(Limits!$D$80),O2&gt;Limits!$D$80)))</x:formula>
    </x:cfRule>
  </x:conditionalFormatting>
  <x:conditionalFormatting sqref="P2:P8">
    <x:cfRule type="expression" dxfId="79" priority="15">
      <x:formula>AND(ISNUMBER(P2),OR(AND(ISNUMBER(Limits!$C$81),P2&lt;Limits!$C$81),AND(ISNUMBER(Limits!$D$81),P2&gt;Limits!$D$81)))</x:formula>
    </x:cfRule>
  </x:conditionalFormatting>
  <x:conditionalFormatting sqref="Q2:Q8">
    <x:cfRule type="expression" dxfId="80" priority="16">
      <x:formula>AND(ISNUMBER(Q2),OR(AND(ISNUMBER(Limits!$C$82),Q2&lt;Limits!$C$82),AND(ISNUMBER(Limits!$D$82),Q2&gt;Limits!$D$82)))</x:formula>
    </x:cfRule>
  </x:conditionalFormatting>
  <x:conditionalFormatting sqref="R2:R8">
    <x:cfRule type="expression" dxfId="81" priority="17">
      <x:formula>AND(ISNUMBER(R2),OR(AND(ISNUMBER(Limits!$C$83),R2&lt;Limits!$C$83),AND(ISNUMBER(Limits!$D$83),R2&gt;Limits!$D$83)))</x:formula>
    </x:cfRule>
  </x:conditionalFormatting>
  <x:conditionalFormatting sqref="S2:S8">
    <x:cfRule type="expression" dxfId="82" priority="18">
      <x:formula>AND(ISNUMBER(S2),OR(AND(ISNUMBER(Limits!$C$84),S2&lt;Limits!$C$84),AND(ISNUMBER(Limits!$D$84),S2&gt;Limits!$D$84)))</x:formula>
    </x:cfRule>
  </x:conditionalFormatting>
  <x:conditionalFormatting sqref="T2:T8">
    <x:cfRule type="expression" dxfId="83" priority="19">
      <x:formula>AND(ISNUMBER(T2),OR(AND(ISNUMBER(Limits!$C$85),T2&lt;Limits!$C$85),AND(ISNUMBER(Limits!$D$85),T2&gt;Limits!$D$85)))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5a04f545ed4ca7"/>
  </x:tableParts>
</x:worksheet>
</file>

<file path=xl/worksheets/sheet11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85" customHeight="1">
      <x:c r="A1" s="14" t="str">
        <x:v>Date</x:v>
      </x:c>
      <x:c r="B1" s="14" t="str">
        <x:v>Headbox pH · PD1 · SP (pH)</x:v>
      </x:c>
      <x:c r="C1" s="14" t="str">
        <x:v>Headbox pH · PD1 · Act (pH)</x:v>
      </x:c>
      <x:c r="D1" s="14" t="str">
        <x:v>Headbox pH · PD2 · SP (pH)</x:v>
      </x:c>
      <x:c r="E1" s="14" t="str">
        <x:v>Headbox pH · PD2 · Act (pH)</x:v>
      </x:c>
      <x:c r="F1" s="14" t="str">
        <x:v>Headbox pH · PD3 · SP (pH)</x:v>
      </x:c>
      <x:c r="G1" s="14" t="str">
        <x:v>Headbox pH · PD3 · Act (pH)</x:v>
      </x:c>
    </x:row>
    <x:row r="2" ht="26" customHeight="1">
      <x:c r="A2" s="15" t="n">
        <x:f>Setup!$B$5-6</x:f>
        <x:v>46282</x:v>
      </x:c>
      <x:c r="B2" s="16" t="n">
        <x:v>3.8</x:v>
      </x:c>
      <x:c r="C2" s="16" t="n">
        <x:v>3.85</x:v>
      </x:c>
      <x:c r="D2" s="16" t="n">
        <x:v>3.8</x:v>
      </x:c>
      <x:c r="E2" s="16" t="n">
        <x:v>4.02</x:v>
      </x:c>
      <x:c r="F2" s="16" t="n">
        <x:v>3.8</x:v>
      </x:c>
      <x:c r="G2" s="16" t="n">
        <x:v>4.03</x:v>
      </x:c>
    </x:row>
    <x:row r="3" ht="26" customHeight="1">
      <x:c r="A3" s="15" t="n">
        <x:f>Setup!$B$5-5</x:f>
        <x:v>46283</x:v>
      </x:c>
      <x:c r="B3" s="16" t="n">
        <x:v>3.8</x:v>
      </x:c>
      <x:c r="C3" s="16" t="n">
        <x:v>4.02</x:v>
      </x:c>
      <x:c r="D3" s="16" t="n">
        <x:v>3.8</x:v>
      </x:c>
      <x:c r="E3" s="16" t="n">
        <x:v>4.03</x:v>
      </x:c>
      <x:c r="F3" s="16" t="n">
        <x:v>3.8</x:v>
      </x:c>
      <x:c r="G3" s="16" t="n">
        <x:v>3.88</x:v>
      </x:c>
    </x:row>
    <x:row r="4" ht="26" customHeight="1">
      <x:c r="A4" s="15" t="n">
        <x:f>Setup!$B$5-4</x:f>
        <x:v>46284</x:v>
      </x:c>
      <x:c r="B4" s="16" t="n">
        <x:v>3.8</x:v>
      </x:c>
      <x:c r="C4" s="16" t="n">
        <x:v>4.03</x:v>
      </x:c>
      <x:c r="D4" s="16" t="n">
        <x:v>3.8</x:v>
      </x:c>
      <x:c r="E4" s="16" t="n">
        <x:v>3.88</x:v>
      </x:c>
      <x:c r="F4" s="16" t="n">
        <x:v>3.8</x:v>
      </x:c>
      <x:c r="G4" s="16" t="n">
        <x:v>3.7</x:v>
      </x:c>
    </x:row>
    <x:row r="5" ht="26" customHeight="1">
      <x:c r="A5" s="15" t="n">
        <x:f>Setup!$B$5-3</x:f>
        <x:v>46285</x:v>
      </x:c>
      <x:c r="B5" s="16" t="n">
        <x:v>3.8</x:v>
      </x:c>
      <x:c r="C5" s="16" t="n">
        <x:v>3.88</x:v>
      </x:c>
      <x:c r="D5" s="16" t="n">
        <x:v>3.8</x:v>
      </x:c>
      <x:c r="E5" s="16" t="n">
        <x:v>3.7</x:v>
      </x:c>
      <x:c r="F5" s="16" t="n">
        <x:v>3.8</x:v>
      </x:c>
      <x:c r="G5" s="16" t="n">
        <x:v>3.66</x:v>
      </x:c>
    </x:row>
    <x:row r="6" ht="26" customHeight="1">
      <x:c r="A6" s="15" t="n">
        <x:f>Setup!$B$5-2</x:f>
        <x:v>46286</x:v>
      </x:c>
      <x:c r="B6" s="16" t="n">
        <x:v>3.8</x:v>
      </x:c>
      <x:c r="C6" s="16" t="n">
        <x:v>3.7</x:v>
      </x:c>
      <x:c r="D6" s="16" t="n">
        <x:v>3.8</x:v>
      </x:c>
      <x:c r="E6" s="16" t="n">
        <x:v>3.66</x:v>
      </x:c>
      <x:c r="F6" s="16" t="n">
        <x:v>3.8</x:v>
      </x:c>
      <x:c r="G6" s="16" t="n">
        <x:v>3.79</x:v>
      </x:c>
    </x:row>
    <x:row r="7" ht="26" customHeight="1">
      <x:c r="A7" s="15" t="n">
        <x:f>Setup!$B$5-1</x:f>
        <x:v>46287</x:v>
      </x:c>
      <x:c r="B7" s="16" t="n">
        <x:v>3.8</x:v>
      </x:c>
      <x:c r="C7" s="16" t="n">
        <x:v>3.66</x:v>
      </x:c>
      <x:c r="D7" s="16" t="n">
        <x:v>3.8</x:v>
      </x:c>
      <x:c r="E7" s="16" t="n">
        <x:v>3.79</x:v>
      </x:c>
      <x:c r="F7" s="16" t="n">
        <x:v>3.8</x:v>
      </x:c>
      <x:c r="G7" s="16" t="n">
        <x:v>3.98</x:v>
      </x:c>
    </x:row>
    <x:row r="8" ht="26" customHeight="1">
      <x:c r="A8" s="15" t="n">
        <x:f>Setup!$B$5</x:f>
        <x:v>46288</x:v>
      </x:c>
      <x:c r="B8" s="16" t="n">
        <x:v>3.8</x:v>
      </x:c>
      <x:c r="C8" s="16" t="n">
        <x:v>3.79</x:v>
      </x:c>
      <x:c r="D8" s="16" t="n">
        <x:v>3.8</x:v>
      </x:c>
      <x:c r="E8" s="16" t="n">
        <x:v>3.98</x:v>
      </x:c>
      <x:c r="F8" s="16" t="n">
        <x:v>3.8</x:v>
      </x:c>
      <x:c r="G8" s="16" t="n">
        <x:v>4.05</x:v>
      </x:c>
    </x:row>
  </x:sheetData>
  <x:conditionalFormatting sqref="B2:B8">
    <x:cfRule type="expression" dxfId="84" priority="1">
      <x:formula>AND(ISNUMBER(B2),OR(AND(ISNUMBER(Limits!$C$86),B2&lt;Limits!$C$86),AND(ISNUMBER(Limits!$D$86),B2&gt;Limits!$D$86)))</x:formula>
    </x:cfRule>
  </x:conditionalFormatting>
  <x:conditionalFormatting sqref="C2:C8">
    <x:cfRule type="expression" dxfId="85" priority="2">
      <x:formula>AND(ISNUMBER(C2),OR(AND(ISNUMBER(Limits!$C$87),C2&lt;Limits!$C$87),AND(ISNUMBER(Limits!$D$87),C2&gt;Limits!$D$87)))</x:formula>
    </x:cfRule>
  </x:conditionalFormatting>
  <x:conditionalFormatting sqref="D2:D8">
    <x:cfRule type="expression" dxfId="86" priority="3">
      <x:formula>AND(ISNUMBER(D2),OR(AND(ISNUMBER(Limits!$C$88),D2&lt;Limits!$C$88),AND(ISNUMBER(Limits!$D$88),D2&gt;Limits!$D$88)))</x:formula>
    </x:cfRule>
  </x:conditionalFormatting>
  <x:conditionalFormatting sqref="E2:E8">
    <x:cfRule type="expression" dxfId="87" priority="4">
      <x:formula>AND(ISNUMBER(E2),OR(AND(ISNUMBER(Limits!$C$89),E2&lt;Limits!$C$89),AND(ISNUMBER(Limits!$D$89),E2&gt;Limits!$D$89)))</x:formula>
    </x:cfRule>
  </x:conditionalFormatting>
  <x:conditionalFormatting sqref="F2:F8">
    <x:cfRule type="expression" dxfId="88" priority="5">
      <x:formula>AND(ISNUMBER(F2),OR(AND(ISNUMBER(Limits!$C$90),F2&lt;Limits!$C$90),AND(ISNUMBER(Limits!$D$90),F2&gt;Limits!$D$90)))</x:formula>
    </x:cfRule>
  </x:conditionalFormatting>
  <x:conditionalFormatting sqref="G2:G8">
    <x:cfRule type="expression" dxfId="89" priority="6">
      <x:formula>AND(ISNUMBER(G2),OR(AND(ISNUMBER(Limits!$C$91),G2&lt;Limits!$C$91),AND(ISNUMBER(Limits!$D$91),G2&gt;Limits!$D$91)))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8a3b5f4c44487e"/>
  </x:tableParts>
</x:worksheet>
</file>

<file path=xl/worksheets/sheet12.xml><?xml version="1.0" encoding="utf-8"?>
<x:worksheet xmlns:x="http://schemas.openxmlformats.org/spreadsheetml/2006/main">
  <x:sheetPr>
    <x:tabColor rgb="FF245D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6" customHeight="1">
      <x:c r="A1" s="18" t="str">
        <x:v>Date</x:v>
      </x:c>
      <x:c r="B1" s="18" t="str">
        <x:v>1st A</x:v>
      </x:c>
      <x:c r="C1" s="18" t="str">
        <x:v>1st B</x:v>
      </x:c>
      <x:c r="D1" s="18" t="str">
        <x:v>1st C</x:v>
      </x:c>
      <x:c r="E1" s="18" t="str">
        <x:v>2nd A</x:v>
      </x:c>
      <x:c r="F1" s="18" t="str">
        <x:v>2nd B</x:v>
      </x:c>
      <x:c r="G1" s="18" t="str">
        <x:v>3rd</x:v>
      </x:c>
      <x:c r="H1" s="18" t="str">
        <x:v>4th</x:v>
      </x:c>
      <x:c r="I1" s="18" t="str">
        <x:v>5th</x:v>
      </x:c>
      <x:c r="J1" s="18" t="str">
        <x:v>6th</x:v>
      </x:c>
      <x:c r="K1" s="18" t="str">
        <x:v>Rev A</x:v>
      </x:c>
      <x:c r="L1" s="18" t="str">
        <x:v>Rev B</x:v>
      </x:c>
      <x:c r="M1" s="18" t="str">
        <x:v>Rev C</x:v>
      </x:c>
    </x:row>
    <x:row r="2" ht="26" customHeight="1">
      <x:c r="A2" s="15" t="n">
        <x:v>46028</x:v>
      </x:c>
      <x:c r="B2" s="17" t="n">
        <x:v>2</x:v>
      </x:c>
      <x:c r="C2" s="17" t="n">
        <x:v>1.2</x:v>
      </x:c>
      <x:c r="D2" s="17" t="n">
        <x:v>2.7</x:v>
      </x:c>
      <x:c r="E2" s="17" t="n">
        <x:v>3.05</x:v>
      </x:c>
      <x:c r="F2" s="17" t="n">
        <x:v>1.65</x:v>
      </x:c>
      <x:c r="G2" s="17" t="n">
        <x:v>2</x:v>
      </x:c>
      <x:c r="H2" s="17" t="n">
        <x:v>2.35</x:v>
      </x:c>
      <x:c r="I2" s="17" t="n">
        <x:v>2.7</x:v>
      </x:c>
      <x:c r="J2" s="17" t="n">
        <x:v>3.05</x:v>
      </x:c>
      <x:c r="K2" s="17" t="n">
        <x:v>1.65</x:v>
      </x:c>
      <x:c r="L2" s="17" t="n">
        <x:v>2</x:v>
      </x:c>
      <x:c r="M2" s="17" t="n">
        <x:v>2.35</x:v>
      </x:c>
    </x:row>
    <x:row r="3" ht="26" customHeight="1">
      <x:c r="A3" s="15" t="n">
        <x:v>46059</x:v>
      </x:c>
      <x:c r="B3" s="17" t="n">
        <x:v>2.35</x:v>
      </x:c>
      <x:c r="C3" s="17" t="n">
        <x:v>2.7</x:v>
      </x:c>
      <x:c r="D3" s="17" t="n">
        <x:v>1.2</x:v>
      </x:c>
      <x:c r="E3" s="17" t="n">
        <x:v>1.65</x:v>
      </x:c>
      <x:c r="F3" s="17" t="n">
        <x:v>2</x:v>
      </x:c>
      <x:c r="G3" s="17" t="n">
        <x:v>2.35</x:v>
      </x:c>
      <x:c r="H3" s="17" t="n">
        <x:v>2.7</x:v>
      </x:c>
      <x:c r="I3" s="17" t="n">
        <x:v>3.05</x:v>
      </x:c>
      <x:c r="J3" s="17" t="n">
        <x:v>1.65</x:v>
      </x:c>
      <x:c r="K3" s="17" t="n">
        <x:v>2</x:v>
      </x:c>
      <x:c r="L3" s="17" t="n">
        <x:v>2.35</x:v>
      </x:c>
      <x:c r="M3" s="17" t="n">
        <x:v>2.7</x:v>
      </x:c>
    </x:row>
    <x:row r="4" ht="26" customHeight="1">
      <x:c r="A4" s="15" t="n">
        <x:v>46087</x:v>
      </x:c>
      <x:c r="B4" s="17" t="n">
        <x:v>2.7</x:v>
      </x:c>
      <x:c r="C4" s="17" t="n">
        <x:v>3.05</x:v>
      </x:c>
      <x:c r="D4" s="17" t="n">
        <x:v>1.65</x:v>
      </x:c>
      <x:c r="E4" s="17" t="n">
        <x:v>1.2</x:v>
      </x:c>
      <x:c r="F4" s="17" t="n">
        <x:v>2.35</x:v>
      </x:c>
      <x:c r="G4" s="17" t="n">
        <x:v>2.7</x:v>
      </x:c>
      <x:c r="H4" s="17" t="n">
        <x:v>3.05</x:v>
      </x:c>
      <x:c r="I4" s="17" t="n">
        <x:v>1.65</x:v>
      </x:c>
      <x:c r="J4" s="17" t="n">
        <x:v>2</x:v>
      </x:c>
      <x:c r="K4" s="17" t="n">
        <x:v>2.35</x:v>
      </x:c>
      <x:c r="L4" s="17" t="n">
        <x:v>2.7</x:v>
      </x:c>
      <x:c r="M4" s="17" t="n">
        <x:v>3.05</x:v>
      </x:c>
    </x:row>
    <x:row r="5" ht="26" customHeight="1">
      <x:c r="A5" s="15" t="n">
        <x:v>46118</x:v>
      </x:c>
      <x:c r="B5" s="17" t="n">
        <x:v>3.05</x:v>
      </x:c>
      <x:c r="C5" s="17" t="n">
        <x:v>1.65</x:v>
      </x:c>
      <x:c r="D5" s="17" t="n">
        <x:v>2</x:v>
      </x:c>
      <x:c r="E5" s="17" t="n">
        <x:v>2.35</x:v>
      </x:c>
      <x:c r="F5" s="17" t="n">
        <x:v>1.2</x:v>
      </x:c>
      <x:c r="G5" s="17" t="n">
        <x:v>3.05</x:v>
      </x:c>
      <x:c r="H5" s="17" t="n">
        <x:v>1.65</x:v>
      </x:c>
      <x:c r="I5" s="17" t="n">
        <x:v>2</x:v>
      </x:c>
      <x:c r="J5" s="17" t="n">
        <x:v>2.35</x:v>
      </x:c>
      <x:c r="K5" s="17" t="n">
        <x:v>2.7</x:v>
      </x:c>
      <x:c r="L5" s="17" t="n">
        <x:v>3.05</x:v>
      </x:c>
      <x:c r="M5" s="17" t="n">
        <x:v>1.65</x:v>
      </x:c>
    </x:row>
    <x:row r="6" ht="26" customHeight="1">
      <x:c r="A6" s="15" t="n">
        <x:v>46148</x:v>
      </x:c>
      <x:c r="B6" s="17" t="n">
        <x:v>1.65</x:v>
      </x:c>
      <x:c r="C6" s="17" t="n">
        <x:v>2</x:v>
      </x:c>
      <x:c r="D6" s="17" t="n">
        <x:v>2.35</x:v>
      </x:c>
      <x:c r="E6" s="17" t="n">
        <x:v>2.7</x:v>
      </x:c>
      <x:c r="F6" s="17" t="n">
        <x:v>3.05</x:v>
      </x:c>
      <x:c r="G6" s="17" t="n">
        <x:v>1.2</x:v>
      </x:c>
      <x:c r="H6" s="17" t="n">
        <x:v>2</x:v>
      </x:c>
      <x:c r="I6" s="17" t="n">
        <x:v>2.35</x:v>
      </x:c>
      <x:c r="J6" s="17" t="n">
        <x:v>2.7</x:v>
      </x:c>
      <x:c r="K6" s="17" t="n">
        <x:v>3.05</x:v>
      </x:c>
      <x:c r="L6" s="17" t="n">
        <x:v>1.65</x:v>
      </x:c>
      <x:c r="M6" s="17" t="n">
        <x:v>2</x:v>
      </x:c>
    </x:row>
    <x:row r="7" ht="26" customHeight="1">
      <x:c r="A7" s="15" t="n">
        <x:v>46179</x:v>
      </x:c>
      <x:c r="B7" s="17" t="n">
        <x:v>2</x:v>
      </x:c>
      <x:c r="C7" s="17" t="n">
        <x:v>2.35</x:v>
      </x:c>
      <x:c r="D7" s="17" t="n">
        <x:v>2.7</x:v>
      </x:c>
      <x:c r="E7" s="17" t="n">
        <x:v>3.05</x:v>
      </x:c>
      <x:c r="F7" s="17" t="n">
        <x:v>1.65</x:v>
      </x:c>
      <x:c r="G7" s="17" t="n">
        <x:v>2</x:v>
      </x:c>
      <x:c r="H7" s="17" t="n">
        <x:v>1.2</x:v>
      </x:c>
      <x:c r="I7" s="17" t="n">
        <x:v>2.7</x:v>
      </x:c>
      <x:c r="J7" s="17" t="n">
        <x:v>3.05</x:v>
      </x:c>
      <x:c r="K7" s="17" t="n">
        <x:v>1.65</x:v>
      </x:c>
      <x:c r="L7" s="17" t="n">
        <x:v>2</x:v>
      </x:c>
      <x:c r="M7" s="17" t="n">
        <x:v>2.35</x:v>
      </x:c>
    </x:row>
    <x:row r="8" ht="26" customHeight="1">
      <x:c r="A8" s="15" t="n">
        <x:v>46209</x:v>
      </x:c>
      <x:c r="B8" s="17" t="n">
        <x:v>2.35</x:v>
      </x:c>
      <x:c r="C8" s="17" t="n">
        <x:v>2.7</x:v>
      </x:c>
      <x:c r="D8" s="17" t="n">
        <x:v>3.05</x:v>
      </x:c>
      <x:c r="E8" s="17" t="n">
        <x:v>1.65</x:v>
      </x:c>
      <x:c r="F8" s="17" t="n">
        <x:v>2</x:v>
      </x:c>
      <x:c r="G8" s="17" t="n">
        <x:v>2.35</x:v>
      </x:c>
      <x:c r="H8" s="17" t="n">
        <x:v>2.7</x:v>
      </x:c>
      <x:c r="I8" s="17" t="n">
        <x:v>1.2</x:v>
      </x:c>
      <x:c r="J8" s="17" t="n">
        <x:v>1.65</x:v>
      </x:c>
      <x:c r="K8" s="17" t="n">
        <x:v>2</x:v>
      </x:c>
      <x:c r="L8" s="17" t="n">
        <x:v>2.35</x:v>
      </x:c>
      <x:c r="M8" s="17" t="n">
        <x:v>2.7</x:v>
      </x:c>
    </x:row>
    <x:row r="9" ht="26" customHeight="1">
      <x:c r="A9" s="15" t="n">
        <x:v>46240</x:v>
      </x:c>
      <x:c r="B9" s="17" t="n">
        <x:v>2.7</x:v>
      </x:c>
      <x:c r="C9" s="17" t="n">
        <x:v>3.05</x:v>
      </x:c>
      <x:c r="D9" s="17" t="n">
        <x:v>1.65</x:v>
      </x:c>
      <x:c r="E9" s="17" t="n">
        <x:v>2</x:v>
      </x:c>
      <x:c r="F9" s="17" t="n">
        <x:v>2.35</x:v>
      </x:c>
      <x:c r="G9" s="17" t="n">
        <x:v>2.7</x:v>
      </x:c>
      <x:c r="H9" s="17" t="n">
        <x:v>3.05</x:v>
      </x:c>
      <x:c r="I9" s="17" t="n">
        <x:v>1.65</x:v>
      </x:c>
      <x:c r="J9" s="17" t="n">
        <x:v>1.2</x:v>
      </x:c>
      <x:c r="K9" s="17" t="n">
        <x:v>2.35</x:v>
      </x:c>
      <x:c r="L9" s="17" t="n">
        <x:v>2.7</x:v>
      </x:c>
      <x:c r="M9" s="17" t="n">
        <x:v>3.05</x:v>
      </x:c>
    </x:row>
    <x:row r="10" ht="26" customHeight="1">
      <x:c r="A10" s="15" t="n">
        <x:v>46271</x:v>
      </x:c>
      <x:c r="B10" s="17" t="n">
        <x:v>3.05</x:v>
      </x:c>
      <x:c r="C10" s="17" t="n">
        <x:v>1.65</x:v>
      </x:c>
      <x:c r="D10" s="17" t="n">
        <x:v>2</x:v>
      </x:c>
      <x:c r="E10" s="17" t="n">
        <x:v>2.35</x:v>
      </x:c>
      <x:c r="F10" s="17" t="n">
        <x:v>2.7</x:v>
      </x:c>
      <x:c r="G10" s="17" t="n">
        <x:v>3.05</x:v>
      </x:c>
      <x:c r="H10" s="17" t="n">
        <x:v>1.65</x:v>
      </x:c>
      <x:c r="I10" s="17" t="n">
        <x:v>2</x:v>
      </x:c>
      <x:c r="J10" s="17" t="n">
        <x:v>2.35</x:v>
      </x:c>
      <x:c r="K10" s="17" t="n">
        <x:v>1.2</x:v>
      </x:c>
      <x:c r="L10" s="17" t="n">
        <x:v>3.05</x:v>
      </x:c>
      <x:c r="M10" s="17" t="n">
        <x:v>1.65</x:v>
      </x:c>
    </x:row>
  </x:sheetData>
  <x:conditionalFormatting sqref="B2:B10">
    <x:cfRule type="expression" dxfId="90" priority="1">
      <x:formula>AND(ISNUMBER(B2),OR(AND(ISNUMBER(Limits!$C$92),B2&lt;Limits!$C$92),AND(ISNUMBER(Limits!$D$92),B2&gt;Limits!$D$92)))</x:formula>
    </x:cfRule>
  </x:conditionalFormatting>
  <x:conditionalFormatting sqref="C2:C10">
    <x:cfRule type="expression" dxfId="91" priority="2">
      <x:formula>AND(ISNUMBER(C2),OR(AND(ISNUMBER(Limits!$C$93),C2&lt;Limits!$C$93),AND(ISNUMBER(Limits!$D$93),C2&gt;Limits!$D$93)))</x:formula>
    </x:cfRule>
  </x:conditionalFormatting>
  <x:conditionalFormatting sqref="D2:D10">
    <x:cfRule type="expression" dxfId="92" priority="3">
      <x:formula>AND(ISNUMBER(D2),OR(AND(ISNUMBER(Limits!$C$94),D2&lt;Limits!$C$94),AND(ISNUMBER(Limits!$D$94),D2&gt;Limits!$D$94)))</x:formula>
    </x:cfRule>
  </x:conditionalFormatting>
  <x:conditionalFormatting sqref="E2:E10">
    <x:cfRule type="expression" dxfId="93" priority="4">
      <x:formula>AND(ISNUMBER(E2),OR(AND(ISNUMBER(Limits!$C$95),E2&lt;Limits!$C$95),AND(ISNUMBER(Limits!$D$95),E2&gt;Limits!$D$95)))</x:formula>
    </x:cfRule>
  </x:conditionalFormatting>
  <x:conditionalFormatting sqref="F2:F10">
    <x:cfRule type="expression" dxfId="94" priority="5">
      <x:formula>AND(ISNUMBER(F2),OR(AND(ISNUMBER(Limits!$C$96),F2&lt;Limits!$C$96),AND(ISNUMBER(Limits!$D$96),F2&gt;Limits!$D$96)))</x:formula>
    </x:cfRule>
  </x:conditionalFormatting>
  <x:conditionalFormatting sqref="G2:G10">
    <x:cfRule type="expression" dxfId="95" priority="6">
      <x:formula>AND(ISNUMBER(G2),OR(AND(ISNUMBER(Limits!$C$97),G2&lt;Limits!$C$97),AND(ISNUMBER(Limits!$D$97),G2&gt;Limits!$D$97)))</x:formula>
    </x:cfRule>
  </x:conditionalFormatting>
  <x:conditionalFormatting sqref="H2:H10">
    <x:cfRule type="expression" dxfId="96" priority="7">
      <x:formula>AND(ISNUMBER(H2),OR(AND(ISNUMBER(Limits!$C$98),H2&lt;Limits!$C$98),AND(ISNUMBER(Limits!$D$98),H2&gt;Limits!$D$98)))</x:formula>
    </x:cfRule>
  </x:conditionalFormatting>
  <x:conditionalFormatting sqref="I2:I10">
    <x:cfRule type="expression" dxfId="97" priority="8">
      <x:formula>AND(ISNUMBER(I2),OR(AND(ISNUMBER(Limits!$C$99),I2&lt;Limits!$C$99),AND(ISNUMBER(Limits!$D$99),I2&gt;Limits!$D$99)))</x:formula>
    </x:cfRule>
  </x:conditionalFormatting>
  <x:conditionalFormatting sqref="J2:J10">
    <x:cfRule type="expression" dxfId="98" priority="9">
      <x:formula>AND(ISNUMBER(J2),OR(AND(ISNUMBER(Limits!$C$100),J2&lt;Limits!$C$100),AND(ISNUMBER(Limits!$D$100),J2&gt;Limits!$D$100)))</x:formula>
    </x:cfRule>
  </x:conditionalFormatting>
  <x:conditionalFormatting sqref="K2:K10">
    <x:cfRule type="expression" dxfId="99" priority="10">
      <x:formula>AND(ISNUMBER(K2),OR(AND(ISNUMBER(Limits!$C$101),K2&lt;Limits!$C$101),AND(ISNUMBER(Limits!$D$101),K2&gt;Limits!$D$101)))</x:formula>
    </x:cfRule>
  </x:conditionalFormatting>
  <x:conditionalFormatting sqref="L2:L10">
    <x:cfRule type="expression" dxfId="100" priority="11">
      <x:formula>AND(ISNUMBER(L2),OR(AND(ISNUMBER(Limits!$C$102),L2&lt;Limits!$C$102),AND(ISNUMBER(Limits!$D$102),L2&gt;Limits!$D$102)))</x:formula>
    </x:cfRule>
  </x:conditionalFormatting>
  <x:conditionalFormatting sqref="M2:M10">
    <x:cfRule type="expression" dxfId="101" priority="12">
      <x:formula>AND(ISNUMBER(M2),OR(AND(ISNUMBER(Limits!$C$103),M2&lt;Limits!$C$103),AND(ISNUMBER(Limits!$D$103),M2&gt;Limits!$D$103)))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52d0ca9a224fd3"/>
  </x:tableParts>
</x:worksheet>
</file>

<file path=xl/worksheets/sheet13.xml><?xml version="1.0" encoding="utf-8"?>
<x:worksheet xmlns:x="http://schemas.openxmlformats.org/spreadsheetml/2006/main">
  <x:sheetPr>
    <x:tabColor rgb="FF245D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6" customHeight="1">
      <x:c r="A1" s="18" t="str">
        <x:v>Date</x:v>
      </x:c>
      <x:c r="B1" s="18" t="str">
        <x:v>1st A</x:v>
      </x:c>
      <x:c r="C1" s="18" t="str">
        <x:v>1st B</x:v>
      </x:c>
      <x:c r="D1" s="18" t="str">
        <x:v>1st C</x:v>
      </x:c>
      <x:c r="E1" s="18" t="str">
        <x:v>1st D</x:v>
      </x:c>
      <x:c r="F1" s="18" t="str">
        <x:v>2nd</x:v>
      </x:c>
      <x:c r="G1" s="18" t="str">
        <x:v>3rd</x:v>
      </x:c>
      <x:c r="H1" s="18" t="str">
        <x:v>4th</x:v>
      </x:c>
      <x:c r="I1" s="18" t="str">
        <x:v>5th</x:v>
      </x:c>
      <x:c r="J1" s="18" t="str">
        <x:v>6th</x:v>
      </x:c>
      <x:c r="K1" s="18" t="str">
        <x:v>Rev A</x:v>
      </x:c>
      <x:c r="L1" s="18" t="str">
        <x:v>Rev B</x:v>
      </x:c>
      <x:c r="M1" s="18" t="str">
        <x:v>Rev C</x:v>
      </x:c>
      <x:c r="N1" s="18" t="str">
        <x:v>Rev D</x:v>
      </x:c>
    </x:row>
    <x:row r="2" ht="26" customHeight="1">
      <x:c r="A2" s="15" t="n">
        <x:v>46029</x:v>
      </x:c>
      <x:c r="B2" s="17" t="n">
        <x:v>2.35</x:v>
      </x:c>
      <x:c r="C2" s="17" t="n">
        <x:v>2.7</x:v>
      </x:c>
      <x:c r="D2" s="17" t="n">
        <x:v>1.2</x:v>
      </x:c>
      <x:c r="E2" s="17" t="n">
        <x:v>1.65</x:v>
      </x:c>
      <x:c r="F2" s="17" t="n">
        <x:v>2</x:v>
      </x:c>
      <x:c r="G2" s="17" t="n">
        <x:v>2.35</x:v>
      </x:c>
      <x:c r="H2" s="17" t="n">
        <x:v>2.7</x:v>
      </x:c>
      <x:c r="I2" s="17" t="n">
        <x:v>3.05</x:v>
      </x:c>
      <x:c r="J2" s="17" t="n">
        <x:v>1.65</x:v>
      </x:c>
      <x:c r="K2" s="17" t="n">
        <x:v>2</x:v>
      </x:c>
      <x:c r="L2" s="17" t="n">
        <x:v>2.35</x:v>
      </x:c>
      <x:c r="M2" s="17" t="n">
        <x:v>2.7</x:v>
      </x:c>
      <x:c r="N2" s="17" t="n">
        <x:v>3.05</x:v>
      </x:c>
    </x:row>
    <x:row r="3" ht="26" customHeight="1">
      <x:c r="A3" s="15" t="n">
        <x:v>46060</x:v>
      </x:c>
      <x:c r="B3" s="17" t="n">
        <x:v>2.7</x:v>
      </x:c>
      <x:c r="C3" s="17" t="n">
        <x:v>3.05</x:v>
      </x:c>
      <x:c r="D3" s="17" t="n">
        <x:v>1.65</x:v>
      </x:c>
      <x:c r="E3" s="17" t="n">
        <x:v>1.2</x:v>
      </x:c>
      <x:c r="F3" s="17" t="n">
        <x:v>2.35</x:v>
      </x:c>
      <x:c r="G3" s="17" t="n">
        <x:v>2.7</x:v>
      </x:c>
      <x:c r="H3" s="17" t="n">
        <x:v>3.05</x:v>
      </x:c>
      <x:c r="I3" s="17" t="n">
        <x:v>1.65</x:v>
      </x:c>
      <x:c r="J3" s="17" t="n">
        <x:v>2</x:v>
      </x:c>
      <x:c r="K3" s="17" t="n">
        <x:v>2.35</x:v>
      </x:c>
      <x:c r="L3" s="17" t="n">
        <x:v>2.7</x:v>
      </x:c>
      <x:c r="M3" s="17" t="n">
        <x:v>3.05</x:v>
      </x:c>
      <x:c r="N3" s="17" t="n">
        <x:v>1.65</x:v>
      </x:c>
    </x:row>
    <x:row r="4" ht="26" customHeight="1">
      <x:c r="A4" s="15" t="n">
        <x:v>46088</x:v>
      </x:c>
      <x:c r="B4" s="17" t="n">
        <x:v>3.05</x:v>
      </x:c>
      <x:c r="C4" s="17" t="n">
        <x:v>1.65</x:v>
      </x:c>
      <x:c r="D4" s="17" t="n">
        <x:v>2</x:v>
      </x:c>
      <x:c r="E4" s="17" t="n">
        <x:v>2.35</x:v>
      </x:c>
      <x:c r="F4" s="17" t="n">
        <x:v>1.2</x:v>
      </x:c>
      <x:c r="G4" s="17" t="n">
        <x:v>3.05</x:v>
      </x:c>
      <x:c r="H4" s="17" t="n">
        <x:v>1.65</x:v>
      </x:c>
      <x:c r="I4" s="17" t="n">
        <x:v>2</x:v>
      </x:c>
      <x:c r="J4" s="17" t="n">
        <x:v>2.35</x:v>
      </x:c>
      <x:c r="K4" s="17" t="n">
        <x:v>2.7</x:v>
      </x:c>
      <x:c r="L4" s="17" t="n">
        <x:v>3.05</x:v>
      </x:c>
      <x:c r="M4" s="17" t="n">
        <x:v>1.65</x:v>
      </x:c>
      <x:c r="N4" s="17" t="n">
        <x:v>2</x:v>
      </x:c>
    </x:row>
    <x:row r="5" ht="26" customHeight="1">
      <x:c r="A5" s="15" t="n">
        <x:v>46119</x:v>
      </x:c>
      <x:c r="B5" s="17" t="n">
        <x:v>1.65</x:v>
      </x:c>
      <x:c r="C5" s="17" t="n">
        <x:v>2</x:v>
      </x:c>
      <x:c r="D5" s="17" t="n">
        <x:v>2.35</x:v>
      </x:c>
      <x:c r="E5" s="17" t="n">
        <x:v>2.7</x:v>
      </x:c>
      <x:c r="F5" s="17" t="n">
        <x:v>3.05</x:v>
      </x:c>
      <x:c r="G5" s="17" t="n">
        <x:v>1.2</x:v>
      </x:c>
      <x:c r="H5" s="17" t="n">
        <x:v>2</x:v>
      </x:c>
      <x:c r="I5" s="17" t="n">
        <x:v>2.35</x:v>
      </x:c>
      <x:c r="J5" s="17" t="n">
        <x:v>2.7</x:v>
      </x:c>
      <x:c r="K5" s="17" t="n">
        <x:v>3.05</x:v>
      </x:c>
      <x:c r="L5" s="17" t="n">
        <x:v>1.65</x:v>
      </x:c>
      <x:c r="M5" s="17" t="n">
        <x:v>2</x:v>
      </x:c>
      <x:c r="N5" s="17" t="n">
        <x:v>2.35</x:v>
      </x:c>
    </x:row>
    <x:row r="6" ht="26" customHeight="1">
      <x:c r="A6" s="15" t="n">
        <x:v>46149</x:v>
      </x:c>
      <x:c r="B6" s="17" t="n">
        <x:v>2</x:v>
      </x:c>
      <x:c r="C6" s="17" t="n">
        <x:v>2.35</x:v>
      </x:c>
      <x:c r="D6" s="17" t="n">
        <x:v>2.7</x:v>
      </x:c>
      <x:c r="E6" s="17" t="n">
        <x:v>3.05</x:v>
      </x:c>
      <x:c r="F6" s="17" t="n">
        <x:v>1.65</x:v>
      </x:c>
      <x:c r="G6" s="17" t="n">
        <x:v>2</x:v>
      </x:c>
      <x:c r="H6" s="17" t="n">
        <x:v>1.2</x:v>
      </x:c>
      <x:c r="I6" s="17" t="n">
        <x:v>2.7</x:v>
      </x:c>
      <x:c r="J6" s="17" t="n">
        <x:v>3.05</x:v>
      </x:c>
      <x:c r="K6" s="17" t="n">
        <x:v>1.65</x:v>
      </x:c>
      <x:c r="L6" s="17" t="n">
        <x:v>2</x:v>
      </x:c>
      <x:c r="M6" s="17" t="n">
        <x:v>2.35</x:v>
      </x:c>
      <x:c r="N6" s="17" t="n">
        <x:v>2.7</x:v>
      </x:c>
    </x:row>
    <x:row r="7" ht="26" customHeight="1">
      <x:c r="A7" s="15" t="n">
        <x:v>46180</x:v>
      </x:c>
      <x:c r="B7" s="17" t="n">
        <x:v>2.35</x:v>
      </x:c>
      <x:c r="C7" s="17" t="n">
        <x:v>2.7</x:v>
      </x:c>
      <x:c r="D7" s="17" t="n">
        <x:v>3.05</x:v>
      </x:c>
      <x:c r="E7" s="17" t="n">
        <x:v>1.65</x:v>
      </x:c>
      <x:c r="F7" s="17" t="n">
        <x:v>2</x:v>
      </x:c>
      <x:c r="G7" s="17" t="n">
        <x:v>2.35</x:v>
      </x:c>
      <x:c r="H7" s="17" t="n">
        <x:v>2.7</x:v>
      </x:c>
      <x:c r="I7" s="17" t="n">
        <x:v>1.2</x:v>
      </x:c>
      <x:c r="J7" s="17" t="n">
        <x:v>1.65</x:v>
      </x:c>
      <x:c r="K7" s="17" t="n">
        <x:v>2</x:v>
      </x:c>
      <x:c r="L7" s="17" t="n">
        <x:v>2.35</x:v>
      </x:c>
      <x:c r="M7" s="17" t="n">
        <x:v>2.7</x:v>
      </x:c>
      <x:c r="N7" s="17" t="n">
        <x:v>3.05</x:v>
      </x:c>
    </x:row>
    <x:row r="8" ht="26" customHeight="1">
      <x:c r="A8" s="15" t="n">
        <x:v>46210</x:v>
      </x:c>
      <x:c r="B8" s="17" t="n">
        <x:v>2.7</x:v>
      </x:c>
      <x:c r="C8" s="17" t="n">
        <x:v>3.05</x:v>
      </x:c>
      <x:c r="D8" s="17" t="n">
        <x:v>1.65</x:v>
      </x:c>
      <x:c r="E8" s="17" t="n">
        <x:v>2</x:v>
      </x:c>
      <x:c r="F8" s="17" t="n">
        <x:v>2.35</x:v>
      </x:c>
      <x:c r="G8" s="17" t="n">
        <x:v>2.7</x:v>
      </x:c>
      <x:c r="H8" s="17" t="n">
        <x:v>3.05</x:v>
      </x:c>
      <x:c r="I8" s="17" t="n">
        <x:v>1.65</x:v>
      </x:c>
      <x:c r="J8" s="17" t="n">
        <x:v>1.2</x:v>
      </x:c>
      <x:c r="K8" s="17" t="n">
        <x:v>2.35</x:v>
      </x:c>
      <x:c r="L8" s="17" t="n">
        <x:v>2.7</x:v>
      </x:c>
      <x:c r="M8" s="17" t="n">
        <x:v>3.05</x:v>
      </x:c>
      <x:c r="N8" s="17" t="n">
        <x:v>1.65</x:v>
      </x:c>
    </x:row>
    <x:row r="9" ht="26" customHeight="1">
      <x:c r="A9" s="15" t="n">
        <x:v>46241</x:v>
      </x:c>
      <x:c r="B9" s="17" t="n">
        <x:v>3.05</x:v>
      </x:c>
      <x:c r="C9" s="17" t="n">
        <x:v>1.65</x:v>
      </x:c>
      <x:c r="D9" s="17" t="n">
        <x:v>2</x:v>
      </x:c>
      <x:c r="E9" s="17" t="n">
        <x:v>2.35</x:v>
      </x:c>
      <x:c r="F9" s="17" t="n">
        <x:v>2.7</x:v>
      </x:c>
      <x:c r="G9" s="17" t="n">
        <x:v>3.05</x:v>
      </x:c>
      <x:c r="H9" s="17" t="n">
        <x:v>1.65</x:v>
      </x:c>
      <x:c r="I9" s="17" t="n">
        <x:v>2</x:v>
      </x:c>
      <x:c r="J9" s="17" t="n">
        <x:v>2.35</x:v>
      </x:c>
      <x:c r="K9" s="17" t="n">
        <x:v>1.2</x:v>
      </x:c>
      <x:c r="L9" s="17" t="n">
        <x:v>3.05</x:v>
      </x:c>
      <x:c r="M9" s="17" t="n">
        <x:v>1.65</x:v>
      </x:c>
      <x:c r="N9" s="17" t="n">
        <x:v>2</x:v>
      </x:c>
    </x:row>
    <x:row r="10" ht="26" customHeight="1">
      <x:c r="A10" s="15" t="n">
        <x:v>46272</x:v>
      </x:c>
      <x:c r="B10" s="17" t="n">
        <x:v>1.65</x:v>
      </x:c>
      <x:c r="C10" s="17" t="n">
        <x:v>2</x:v>
      </x:c>
      <x:c r="D10" s="17" t="n">
        <x:v>2.35</x:v>
      </x:c>
      <x:c r="E10" s="17" t="n">
        <x:v>2.7</x:v>
      </x:c>
      <x:c r="F10" s="17" t="n">
        <x:v>3.05</x:v>
      </x:c>
      <x:c r="G10" s="17" t="n">
        <x:v>1.65</x:v>
      </x:c>
      <x:c r="H10" s="17" t="n">
        <x:v>2</x:v>
      </x:c>
      <x:c r="I10" s="17" t="n">
        <x:v>2.35</x:v>
      </x:c>
      <x:c r="J10" s="17" t="n">
        <x:v>2.7</x:v>
      </x:c>
      <x:c r="K10" s="17" t="n">
        <x:v>3.05</x:v>
      </x:c>
      <x:c r="L10" s="17" t="n">
        <x:v>1.2</x:v>
      </x:c>
      <x:c r="M10" s="17" t="n">
        <x:v>2</x:v>
      </x:c>
      <x:c r="N10" s="17" t="n">
        <x:v>2.35</x:v>
      </x:c>
    </x:row>
  </x:sheetData>
  <x:conditionalFormatting sqref="B2:B10">
    <x:cfRule type="expression" dxfId="102" priority="1">
      <x:formula>AND(ISNUMBER(B2),OR(AND(ISNUMBER(Limits!$C$104),B2&lt;Limits!$C$104),AND(ISNUMBER(Limits!$D$104),B2&gt;Limits!$D$104)))</x:formula>
    </x:cfRule>
  </x:conditionalFormatting>
  <x:conditionalFormatting sqref="C2:C10">
    <x:cfRule type="expression" dxfId="103" priority="2">
      <x:formula>AND(ISNUMBER(C2),OR(AND(ISNUMBER(Limits!$C$105),C2&lt;Limits!$C$105),AND(ISNUMBER(Limits!$D$105),C2&gt;Limits!$D$105)))</x:formula>
    </x:cfRule>
  </x:conditionalFormatting>
  <x:conditionalFormatting sqref="D2:D10">
    <x:cfRule type="expression" dxfId="104" priority="3">
      <x:formula>AND(ISNUMBER(D2),OR(AND(ISNUMBER(Limits!$C$106),D2&lt;Limits!$C$106),AND(ISNUMBER(Limits!$D$106),D2&gt;Limits!$D$106)))</x:formula>
    </x:cfRule>
  </x:conditionalFormatting>
  <x:conditionalFormatting sqref="E2:E10">
    <x:cfRule type="expression" dxfId="105" priority="4">
      <x:formula>AND(ISNUMBER(E2),OR(AND(ISNUMBER(Limits!$C$107),E2&lt;Limits!$C$107),AND(ISNUMBER(Limits!$D$107),E2&gt;Limits!$D$107)))</x:formula>
    </x:cfRule>
  </x:conditionalFormatting>
  <x:conditionalFormatting sqref="F2:F10">
    <x:cfRule type="expression" dxfId="106" priority="5">
      <x:formula>AND(ISNUMBER(F2),OR(AND(ISNUMBER(Limits!$C$108),F2&lt;Limits!$C$108),AND(ISNUMBER(Limits!$D$108),F2&gt;Limits!$D$108)))</x:formula>
    </x:cfRule>
  </x:conditionalFormatting>
  <x:conditionalFormatting sqref="G2:G10">
    <x:cfRule type="expression" dxfId="107" priority="6">
      <x:formula>AND(ISNUMBER(G2),OR(AND(ISNUMBER(Limits!$C$109),G2&lt;Limits!$C$109),AND(ISNUMBER(Limits!$D$109),G2&gt;Limits!$D$109)))</x:formula>
    </x:cfRule>
  </x:conditionalFormatting>
  <x:conditionalFormatting sqref="H2:H10">
    <x:cfRule type="expression" dxfId="108" priority="7">
      <x:formula>AND(ISNUMBER(H2),OR(AND(ISNUMBER(Limits!$C$110),H2&lt;Limits!$C$110),AND(ISNUMBER(Limits!$D$110),H2&gt;Limits!$D$110)))</x:formula>
    </x:cfRule>
  </x:conditionalFormatting>
  <x:conditionalFormatting sqref="I2:I10">
    <x:cfRule type="expression" dxfId="109" priority="8">
      <x:formula>AND(ISNUMBER(I2),OR(AND(ISNUMBER(Limits!$C$111),I2&lt;Limits!$C$111),AND(ISNUMBER(Limits!$D$111),I2&gt;Limits!$D$111)))</x:formula>
    </x:cfRule>
  </x:conditionalFormatting>
  <x:conditionalFormatting sqref="J2:J10">
    <x:cfRule type="expression" dxfId="110" priority="9">
      <x:formula>AND(ISNUMBER(J2),OR(AND(ISNUMBER(Limits!$C$112),J2&lt;Limits!$C$112),AND(ISNUMBER(Limits!$D$112),J2&gt;Limits!$D$112)))</x:formula>
    </x:cfRule>
  </x:conditionalFormatting>
  <x:conditionalFormatting sqref="K2:K10">
    <x:cfRule type="expression" dxfId="111" priority="10">
      <x:formula>AND(ISNUMBER(K2),OR(AND(ISNUMBER(Limits!$C$113),K2&lt;Limits!$C$113),AND(ISNUMBER(Limits!$D$113),K2&gt;Limits!$D$113)))</x:formula>
    </x:cfRule>
  </x:conditionalFormatting>
  <x:conditionalFormatting sqref="L2:L10">
    <x:cfRule type="expression" dxfId="112" priority="11">
      <x:formula>AND(ISNUMBER(L2),OR(AND(ISNUMBER(Limits!$C$114),L2&lt;Limits!$C$114),AND(ISNUMBER(Limits!$D$114),L2&gt;Limits!$D$114)))</x:formula>
    </x:cfRule>
  </x:conditionalFormatting>
  <x:conditionalFormatting sqref="M2:M10">
    <x:cfRule type="expression" dxfId="113" priority="12">
      <x:formula>AND(ISNUMBER(M2),OR(AND(ISNUMBER(Limits!$C$115),M2&lt;Limits!$C$115),AND(ISNUMBER(Limits!$D$115),M2&gt;Limits!$D$115)))</x:formula>
    </x:cfRule>
  </x:conditionalFormatting>
  <x:conditionalFormatting sqref="N2:N10">
    <x:cfRule type="expression" dxfId="114" priority="13">
      <x:formula>AND(ISNUMBER(N2),OR(AND(ISNUMBER(Limits!$C$116),N2&lt;Limits!$C$116),AND(ISNUMBER(Limits!$D$116),N2&gt;Limits!$D$116)))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1ed694e44e4180"/>
  </x:tableParts>
</x:worksheet>
</file>

<file path=xl/worksheets/sheet14.xml><?xml version="1.0" encoding="utf-8"?>
<x:worksheet xmlns:x="http://schemas.openxmlformats.org/spreadsheetml/2006/main">
  <x:sheetPr>
    <x:tabColor rgb="FF628F3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6" customHeight="1">
      <x:c r="A1" s="19" t="str">
        <x:v>Date</x:v>
      </x:c>
      <x:c r="B1" s="19" t="str">
        <x:v>1st A</x:v>
      </x:c>
      <x:c r="C1" s="19" t="str">
        <x:v>1st B</x:v>
      </x:c>
      <x:c r="D1" s="19" t="str">
        <x:v>1st C</x:v>
      </x:c>
      <x:c r="E1" s="19" t="str">
        <x:v>2nd A</x:v>
      </x:c>
      <x:c r="F1" s="19" t="str">
        <x:v>2nd B</x:v>
      </x:c>
      <x:c r="G1" s="19" t="str">
        <x:v>3rd</x:v>
      </x:c>
      <x:c r="H1" s="19" t="str">
        <x:v>4th</x:v>
      </x:c>
      <x:c r="I1" s="19" t="str">
        <x:v>5th</x:v>
      </x:c>
      <x:c r="J1" s="19" t="str">
        <x:v>6th</x:v>
      </x:c>
      <x:c r="K1" s="19" t="str">
        <x:v>Rev A</x:v>
      </x:c>
      <x:c r="L1" s="19" t="str">
        <x:v>Rev B</x:v>
      </x:c>
      <x:c r="M1" s="19" t="str">
        <x:v>Rev C</x:v>
      </x:c>
    </x:row>
    <x:row r="2" ht="26" customHeight="1">
      <x:c r="A2" s="15" t="n">
        <x:v>46030</x:v>
      </x:c>
      <x:c r="B2" s="17" t="n">
        <x:v>2.7</x:v>
      </x:c>
      <x:c r="C2" s="17" t="n">
        <x:v>3.05</x:v>
      </x:c>
      <x:c r="D2" s="17" t="n">
        <x:v>1.65</x:v>
      </x:c>
      <x:c r="E2" s="17" t="n">
        <x:v>1.2</x:v>
      </x:c>
      <x:c r="F2" s="17" t="n">
        <x:v>2.35</x:v>
      </x:c>
      <x:c r="G2" s="17" t="n">
        <x:v>2.7</x:v>
      </x:c>
      <x:c r="H2" s="17" t="n">
        <x:v>3.05</x:v>
      </x:c>
      <x:c r="I2" s="17" t="n">
        <x:v>1.65</x:v>
      </x:c>
      <x:c r="J2" s="17" t="n">
        <x:v>2</x:v>
      </x:c>
      <x:c r="K2" s="17" t="n">
        <x:v>2.35</x:v>
      </x:c>
      <x:c r="L2" s="17" t="n">
        <x:v>2.7</x:v>
      </x:c>
      <x:c r="M2" s="17" t="n">
        <x:v>3.05</x:v>
      </x:c>
    </x:row>
    <x:row r="3" ht="26" customHeight="1">
      <x:c r="A3" s="15" t="n">
        <x:v>46061</x:v>
      </x:c>
      <x:c r="B3" s="17" t="n">
        <x:v>3.05</x:v>
      </x:c>
      <x:c r="C3" s="17" t="n">
        <x:v>1.65</x:v>
      </x:c>
      <x:c r="D3" s="17" t="n">
        <x:v>2</x:v>
      </x:c>
      <x:c r="E3" s="17" t="n">
        <x:v>2.35</x:v>
      </x:c>
      <x:c r="F3" s="17" t="n">
        <x:v>1.2</x:v>
      </x:c>
      <x:c r="G3" s="17" t="n">
        <x:v>3.05</x:v>
      </x:c>
      <x:c r="H3" s="17" t="n">
        <x:v>1.65</x:v>
      </x:c>
      <x:c r="I3" s="17" t="n">
        <x:v>2</x:v>
      </x:c>
      <x:c r="J3" s="17" t="n">
        <x:v>2.35</x:v>
      </x:c>
      <x:c r="K3" s="17" t="n">
        <x:v>2.7</x:v>
      </x:c>
      <x:c r="L3" s="17" t="n">
        <x:v>3.05</x:v>
      </x:c>
      <x:c r="M3" s="17" t="n">
        <x:v>1.65</x:v>
      </x:c>
    </x:row>
    <x:row r="4" ht="26" customHeight="1">
      <x:c r="A4" s="15" t="n">
        <x:v>46089</x:v>
      </x:c>
      <x:c r="B4" s="17" t="n">
        <x:v>1.65</x:v>
      </x:c>
      <x:c r="C4" s="17" t="n">
        <x:v>2</x:v>
      </x:c>
      <x:c r="D4" s="17" t="n">
        <x:v>2.35</x:v>
      </x:c>
      <x:c r="E4" s="17" t="n">
        <x:v>2.7</x:v>
      </x:c>
      <x:c r="F4" s="17" t="n">
        <x:v>3.05</x:v>
      </x:c>
      <x:c r="G4" s="17" t="n">
        <x:v>1.2</x:v>
      </x:c>
      <x:c r="H4" s="17" t="n">
        <x:v>2</x:v>
      </x:c>
      <x:c r="I4" s="17" t="n">
        <x:v>2.35</x:v>
      </x:c>
      <x:c r="J4" s="17" t="n">
        <x:v>2.7</x:v>
      </x:c>
      <x:c r="K4" s="17" t="n">
        <x:v>3.05</x:v>
      </x:c>
      <x:c r="L4" s="17" t="n">
        <x:v>1.65</x:v>
      </x:c>
      <x:c r="M4" s="17" t="n">
        <x:v>2</x:v>
      </x:c>
    </x:row>
    <x:row r="5" ht="26" customHeight="1">
      <x:c r="A5" s="15" t="n">
        <x:v>46120</x:v>
      </x:c>
      <x:c r="B5" s="17" t="n">
        <x:v>2</x:v>
      </x:c>
      <x:c r="C5" s="17" t="n">
        <x:v>2.35</x:v>
      </x:c>
      <x:c r="D5" s="17" t="n">
        <x:v>2.7</x:v>
      </x:c>
      <x:c r="E5" s="17" t="n">
        <x:v>3.05</x:v>
      </x:c>
      <x:c r="F5" s="17" t="n">
        <x:v>1.65</x:v>
      </x:c>
      <x:c r="G5" s="17" t="n">
        <x:v>2</x:v>
      </x:c>
      <x:c r="H5" s="17" t="n">
        <x:v>1.2</x:v>
      </x:c>
      <x:c r="I5" s="17" t="n">
        <x:v>2.7</x:v>
      </x:c>
      <x:c r="J5" s="17" t="n">
        <x:v>3.05</x:v>
      </x:c>
      <x:c r="K5" s="17" t="n">
        <x:v>1.65</x:v>
      </x:c>
      <x:c r="L5" s="17" t="n">
        <x:v>2</x:v>
      </x:c>
      <x:c r="M5" s="17" t="n">
        <x:v>2.35</x:v>
      </x:c>
    </x:row>
    <x:row r="6" ht="26" customHeight="1">
      <x:c r="A6" s="15" t="n">
        <x:v>46150</x:v>
      </x:c>
      <x:c r="B6" s="17" t="n">
        <x:v>2.35</x:v>
      </x:c>
      <x:c r="C6" s="17" t="n">
        <x:v>2.7</x:v>
      </x:c>
      <x:c r="D6" s="17" t="n">
        <x:v>3.05</x:v>
      </x:c>
      <x:c r="E6" s="17" t="n">
        <x:v>1.65</x:v>
      </x:c>
      <x:c r="F6" s="17" t="n">
        <x:v>2</x:v>
      </x:c>
      <x:c r="G6" s="17" t="n">
        <x:v>2.35</x:v>
      </x:c>
      <x:c r="H6" s="17" t="n">
        <x:v>2.7</x:v>
      </x:c>
      <x:c r="I6" s="17" t="n">
        <x:v>1.2</x:v>
      </x:c>
      <x:c r="J6" s="17" t="n">
        <x:v>1.65</x:v>
      </x:c>
      <x:c r="K6" s="17" t="n">
        <x:v>2</x:v>
      </x:c>
      <x:c r="L6" s="17" t="n">
        <x:v>2.35</x:v>
      </x:c>
      <x:c r="M6" s="17" t="n">
        <x:v>2.7</x:v>
      </x:c>
    </x:row>
    <x:row r="7" ht="26" customHeight="1">
      <x:c r="A7" s="15" t="n">
        <x:v>46181</x:v>
      </x:c>
      <x:c r="B7" s="17" t="n">
        <x:v>2.7</x:v>
      </x:c>
      <x:c r="C7" s="17" t="n">
        <x:v>3.05</x:v>
      </x:c>
      <x:c r="D7" s="17" t="n">
        <x:v>1.65</x:v>
      </x:c>
      <x:c r="E7" s="17" t="n">
        <x:v>2</x:v>
      </x:c>
      <x:c r="F7" s="17" t="n">
        <x:v>2.35</x:v>
      </x:c>
      <x:c r="G7" s="17" t="n">
        <x:v>2.7</x:v>
      </x:c>
      <x:c r="H7" s="17" t="n">
        <x:v>3.05</x:v>
      </x:c>
      <x:c r="I7" s="17" t="n">
        <x:v>1.65</x:v>
      </x:c>
      <x:c r="J7" s="17" t="n">
        <x:v>1.2</x:v>
      </x:c>
      <x:c r="K7" s="17" t="n">
        <x:v>2.35</x:v>
      </x:c>
      <x:c r="L7" s="17" t="n">
        <x:v>2.7</x:v>
      </x:c>
      <x:c r="M7" s="17" t="n">
        <x:v>3.05</x:v>
      </x:c>
    </x:row>
    <x:row r="8" ht="26" customHeight="1">
      <x:c r="A8" s="15" t="n">
        <x:v>46211</x:v>
      </x:c>
      <x:c r="B8" s="17" t="n">
        <x:v>3.05</x:v>
      </x:c>
      <x:c r="C8" s="17" t="n">
        <x:v>1.65</x:v>
      </x:c>
      <x:c r="D8" s="17" t="n">
        <x:v>2</x:v>
      </x:c>
      <x:c r="E8" s="17" t="n">
        <x:v>2.35</x:v>
      </x:c>
      <x:c r="F8" s="17" t="n">
        <x:v>2.7</x:v>
      </x:c>
      <x:c r="G8" s="17" t="n">
        <x:v>3.05</x:v>
      </x:c>
      <x:c r="H8" s="17" t="n">
        <x:v>1.65</x:v>
      </x:c>
      <x:c r="I8" s="17" t="n">
        <x:v>2</x:v>
      </x:c>
      <x:c r="J8" s="17" t="n">
        <x:v>2.35</x:v>
      </x:c>
      <x:c r="K8" s="17" t="n">
        <x:v>1.2</x:v>
      </x:c>
      <x:c r="L8" s="17" t="n">
        <x:v>3.05</x:v>
      </x:c>
      <x:c r="M8" s="17" t="n">
        <x:v>1.65</x:v>
      </x:c>
    </x:row>
    <x:row r="9" ht="26" customHeight="1">
      <x:c r="A9" s="15" t="n">
        <x:v>46242</x:v>
      </x:c>
      <x:c r="B9" s="17" t="n">
        <x:v>1.65</x:v>
      </x:c>
      <x:c r="C9" s="17" t="n">
        <x:v>2</x:v>
      </x:c>
      <x:c r="D9" s="17" t="n">
        <x:v>2.35</x:v>
      </x:c>
      <x:c r="E9" s="17" t="n">
        <x:v>2.7</x:v>
      </x:c>
      <x:c r="F9" s="17" t="n">
        <x:v>3.05</x:v>
      </x:c>
      <x:c r="G9" s="17" t="n">
        <x:v>1.65</x:v>
      </x:c>
      <x:c r="H9" s="17" t="n">
        <x:v>2</x:v>
      </x:c>
      <x:c r="I9" s="17" t="n">
        <x:v>2.35</x:v>
      </x:c>
      <x:c r="J9" s="17" t="n">
        <x:v>2.7</x:v>
      </x:c>
      <x:c r="K9" s="17" t="n">
        <x:v>3.05</x:v>
      </x:c>
      <x:c r="L9" s="17" t="n">
        <x:v>1.2</x:v>
      </x:c>
      <x:c r="M9" s="17" t="n">
        <x:v>2</x:v>
      </x:c>
    </x:row>
    <x:row r="10" ht="26" customHeight="1">
      <x:c r="A10" s="15" t="n">
        <x:v>46273</x:v>
      </x:c>
      <x:c r="B10" s="17" t="n">
        <x:v>2</x:v>
      </x:c>
      <x:c r="C10" s="17" t="n">
        <x:v>2.35</x:v>
      </x:c>
      <x:c r="D10" s="17" t="n">
        <x:v>2.7</x:v>
      </x:c>
      <x:c r="E10" s="17" t="n">
        <x:v>3.05</x:v>
      </x:c>
      <x:c r="F10" s="17" t="n">
        <x:v>1.65</x:v>
      </x:c>
      <x:c r="G10" s="17" t="n">
        <x:v>2</x:v>
      </x:c>
      <x:c r="H10" s="17" t="n">
        <x:v>2.35</x:v>
      </x:c>
      <x:c r="I10" s="17" t="n">
        <x:v>2.7</x:v>
      </x:c>
      <x:c r="J10" s="17" t="n">
        <x:v>3.05</x:v>
      </x:c>
      <x:c r="K10" s="17" t="n">
        <x:v>1.65</x:v>
      </x:c>
      <x:c r="L10" s="17" t="n">
        <x:v>2</x:v>
      </x:c>
      <x:c r="M10" s="17" t="n">
        <x:v>1.2</x:v>
      </x:c>
    </x:row>
  </x:sheetData>
  <x:conditionalFormatting sqref="B2:B10">
    <x:cfRule type="expression" dxfId="115" priority="1">
      <x:formula>AND(ISNUMBER(B2),OR(AND(ISNUMBER(Limits!$C$117),B2&lt;Limits!$C$117),AND(ISNUMBER(Limits!$D$117),B2&gt;Limits!$D$117)))</x:formula>
    </x:cfRule>
  </x:conditionalFormatting>
  <x:conditionalFormatting sqref="C2:C10">
    <x:cfRule type="expression" dxfId="116" priority="2">
      <x:formula>AND(ISNUMBER(C2),OR(AND(ISNUMBER(Limits!$C$118),C2&lt;Limits!$C$118),AND(ISNUMBER(Limits!$D$118),C2&gt;Limits!$D$118)))</x:formula>
    </x:cfRule>
  </x:conditionalFormatting>
  <x:conditionalFormatting sqref="D2:D10">
    <x:cfRule type="expression" dxfId="117" priority="3">
      <x:formula>AND(ISNUMBER(D2),OR(AND(ISNUMBER(Limits!$C$119),D2&lt;Limits!$C$119),AND(ISNUMBER(Limits!$D$119),D2&gt;Limits!$D$119)))</x:formula>
    </x:cfRule>
  </x:conditionalFormatting>
  <x:conditionalFormatting sqref="E2:E10">
    <x:cfRule type="expression" dxfId="118" priority="4">
      <x:formula>AND(ISNUMBER(E2),OR(AND(ISNUMBER(Limits!$C$120),E2&lt;Limits!$C$120),AND(ISNUMBER(Limits!$D$120),E2&gt;Limits!$D$120)))</x:formula>
    </x:cfRule>
  </x:conditionalFormatting>
  <x:conditionalFormatting sqref="F2:F10">
    <x:cfRule type="expression" dxfId="119" priority="5">
      <x:formula>AND(ISNUMBER(F2),OR(AND(ISNUMBER(Limits!$C$121),F2&lt;Limits!$C$121),AND(ISNUMBER(Limits!$D$121),F2&gt;Limits!$D$121)))</x:formula>
    </x:cfRule>
  </x:conditionalFormatting>
  <x:conditionalFormatting sqref="G2:G10">
    <x:cfRule type="expression" dxfId="120" priority="6">
      <x:formula>AND(ISNUMBER(G2),OR(AND(ISNUMBER(Limits!$C$122),G2&lt;Limits!$C$122),AND(ISNUMBER(Limits!$D$122),G2&gt;Limits!$D$122)))</x:formula>
    </x:cfRule>
  </x:conditionalFormatting>
  <x:conditionalFormatting sqref="H2:H10">
    <x:cfRule type="expression" dxfId="121" priority="7">
      <x:formula>AND(ISNUMBER(H2),OR(AND(ISNUMBER(Limits!$C$123),H2&lt;Limits!$C$123),AND(ISNUMBER(Limits!$D$123),H2&gt;Limits!$D$123)))</x:formula>
    </x:cfRule>
  </x:conditionalFormatting>
  <x:conditionalFormatting sqref="I2:I10">
    <x:cfRule type="expression" dxfId="122" priority="8">
      <x:formula>AND(ISNUMBER(I2),OR(AND(ISNUMBER(Limits!$C$124),I2&lt;Limits!$C$124),AND(ISNUMBER(Limits!$D$124),I2&gt;Limits!$D$124)))</x:formula>
    </x:cfRule>
  </x:conditionalFormatting>
  <x:conditionalFormatting sqref="J2:J10">
    <x:cfRule type="expression" dxfId="123" priority="9">
      <x:formula>AND(ISNUMBER(J2),OR(AND(ISNUMBER(Limits!$C$125),J2&lt;Limits!$C$125),AND(ISNUMBER(Limits!$D$125),J2&gt;Limits!$D$125)))</x:formula>
    </x:cfRule>
  </x:conditionalFormatting>
  <x:conditionalFormatting sqref="K2:K10">
    <x:cfRule type="expression" dxfId="124" priority="10">
      <x:formula>AND(ISNUMBER(K2),OR(AND(ISNUMBER(Limits!$C$126),K2&lt;Limits!$C$126),AND(ISNUMBER(Limits!$D$126),K2&gt;Limits!$D$126)))</x:formula>
    </x:cfRule>
  </x:conditionalFormatting>
  <x:conditionalFormatting sqref="L2:L10">
    <x:cfRule type="expression" dxfId="125" priority="11">
      <x:formula>AND(ISNUMBER(L2),OR(AND(ISNUMBER(Limits!$C$127),L2&lt;Limits!$C$127),AND(ISNUMBER(Limits!$D$127),L2&gt;Limits!$D$127)))</x:formula>
    </x:cfRule>
  </x:conditionalFormatting>
  <x:conditionalFormatting sqref="M2:M10">
    <x:cfRule type="expression" dxfId="126" priority="12">
      <x:formula>AND(ISNUMBER(M2),OR(AND(ISNUMBER(Limits!$C$128),M2&lt;Limits!$C$128),AND(ISNUMBER(Limits!$D$128),M2&gt;Limits!$D$128)))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d3f066a43d49bf"/>
  </x:tableParts>
</x:worksheet>
</file>

<file path=xl/worksheets/sheet15.xml><?xml version="1.0" encoding="utf-8"?>
<x:worksheet xmlns:x="http://schemas.openxmlformats.org/spreadsheetml/2006/main">
  <x:sheetPr>
    <x:tabColor rgb="FF628F3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6" customHeight="1">
      <x:c r="A1" s="19" t="str">
        <x:v>Date</x:v>
      </x:c>
      <x:c r="B1" s="19" t="str">
        <x:v>1st A</x:v>
      </x:c>
      <x:c r="C1" s="19" t="str">
        <x:v>1st B</x:v>
      </x:c>
      <x:c r="D1" s="19" t="str">
        <x:v>1st C</x:v>
      </x:c>
      <x:c r="E1" s="19" t="str">
        <x:v>1st D</x:v>
      </x:c>
      <x:c r="F1" s="19" t="str">
        <x:v>2nd</x:v>
      </x:c>
      <x:c r="G1" s="19" t="str">
        <x:v>3rd</x:v>
      </x:c>
      <x:c r="H1" s="19" t="str">
        <x:v>4th</x:v>
      </x:c>
      <x:c r="I1" s="19" t="str">
        <x:v>5th</x:v>
      </x:c>
      <x:c r="J1" s="19" t="str">
        <x:v>6th</x:v>
      </x:c>
      <x:c r="K1" s="19" t="str">
        <x:v>Rev A</x:v>
      </x:c>
      <x:c r="L1" s="19" t="str">
        <x:v>Rev B</x:v>
      </x:c>
      <x:c r="M1" s="19" t="str">
        <x:v>Rev C</x:v>
      </x:c>
      <x:c r="N1" s="19" t="str">
        <x:v>Rev D</x:v>
      </x:c>
    </x:row>
    <x:row r="2" ht="26" customHeight="1">
      <x:c r="A2" s="15" t="n">
        <x:v>46031</x:v>
      </x:c>
      <x:c r="B2" s="17" t="n">
        <x:v>3.05</x:v>
      </x:c>
      <x:c r="C2" s="17" t="n">
        <x:v>1.65</x:v>
      </x:c>
      <x:c r="D2" s="17" t="n">
        <x:v>2</x:v>
      </x:c>
      <x:c r="E2" s="17" t="n">
        <x:v>2.35</x:v>
      </x:c>
      <x:c r="F2" s="17" t="n">
        <x:v>1.2</x:v>
      </x:c>
      <x:c r="G2" s="17" t="n">
        <x:v>3.05</x:v>
      </x:c>
      <x:c r="H2" s="17" t="n">
        <x:v>1.65</x:v>
      </x:c>
      <x:c r="I2" s="17" t="n">
        <x:v>2</x:v>
      </x:c>
      <x:c r="J2" s="17" t="n">
        <x:v>2.35</x:v>
      </x:c>
      <x:c r="K2" s="17" t="n">
        <x:v>2.7</x:v>
      </x:c>
      <x:c r="L2" s="17" t="n">
        <x:v>3.05</x:v>
      </x:c>
      <x:c r="M2" s="17" t="n">
        <x:v>1.65</x:v>
      </x:c>
      <x:c r="N2" s="17" t="n">
        <x:v>2</x:v>
      </x:c>
    </x:row>
    <x:row r="3" ht="26" customHeight="1">
      <x:c r="A3" s="15" t="n">
        <x:v>46062</x:v>
      </x:c>
      <x:c r="B3" s="17" t="n">
        <x:v>1.65</x:v>
      </x:c>
      <x:c r="C3" s="17" t="n">
        <x:v>2</x:v>
      </x:c>
      <x:c r="D3" s="17" t="n">
        <x:v>2.35</x:v>
      </x:c>
      <x:c r="E3" s="17" t="n">
        <x:v>2.7</x:v>
      </x:c>
      <x:c r="F3" s="17" t="n">
        <x:v>3.05</x:v>
      </x:c>
      <x:c r="G3" s="17" t="n">
        <x:v>1.2</x:v>
      </x:c>
      <x:c r="H3" s="17" t="n">
        <x:v>2</x:v>
      </x:c>
      <x:c r="I3" s="17" t="n">
        <x:v>2.35</x:v>
      </x:c>
      <x:c r="J3" s="17" t="n">
        <x:v>2.7</x:v>
      </x:c>
      <x:c r="K3" s="17" t="n">
        <x:v>3.05</x:v>
      </x:c>
      <x:c r="L3" s="17" t="n">
        <x:v>1.65</x:v>
      </x:c>
      <x:c r="M3" s="17" t="n">
        <x:v>2</x:v>
      </x:c>
      <x:c r="N3" s="17" t="n">
        <x:v>2.35</x:v>
      </x:c>
    </x:row>
    <x:row r="4" ht="26" customHeight="1">
      <x:c r="A4" s="15" t="n">
        <x:v>46090</x:v>
      </x:c>
      <x:c r="B4" s="17" t="n">
        <x:v>2</x:v>
      </x:c>
      <x:c r="C4" s="17" t="n">
        <x:v>2.35</x:v>
      </x:c>
      <x:c r="D4" s="17" t="n">
        <x:v>2.7</x:v>
      </x:c>
      <x:c r="E4" s="17" t="n">
        <x:v>3.05</x:v>
      </x:c>
      <x:c r="F4" s="17" t="n">
        <x:v>1.65</x:v>
      </x:c>
      <x:c r="G4" s="17" t="n">
        <x:v>2</x:v>
      </x:c>
      <x:c r="H4" s="17" t="n">
        <x:v>1.2</x:v>
      </x:c>
      <x:c r="I4" s="17" t="n">
        <x:v>2.7</x:v>
      </x:c>
      <x:c r="J4" s="17" t="n">
        <x:v>3.05</x:v>
      </x:c>
      <x:c r="K4" s="17" t="n">
        <x:v>1.65</x:v>
      </x:c>
      <x:c r="L4" s="17" t="n">
        <x:v>2</x:v>
      </x:c>
      <x:c r="M4" s="17" t="n">
        <x:v>2.35</x:v>
      </x:c>
      <x:c r="N4" s="17" t="n">
        <x:v>2.7</x:v>
      </x:c>
    </x:row>
    <x:row r="5" ht="26" customHeight="1">
      <x:c r="A5" s="15" t="n">
        <x:v>46121</x:v>
      </x:c>
      <x:c r="B5" s="17" t="n">
        <x:v>2.35</x:v>
      </x:c>
      <x:c r="C5" s="17" t="n">
        <x:v>2.7</x:v>
      </x:c>
      <x:c r="D5" s="17" t="n">
        <x:v>3.05</x:v>
      </x:c>
      <x:c r="E5" s="17" t="n">
        <x:v>1.65</x:v>
      </x:c>
      <x:c r="F5" s="17" t="n">
        <x:v>2</x:v>
      </x:c>
      <x:c r="G5" s="17" t="n">
        <x:v>2.35</x:v>
      </x:c>
      <x:c r="H5" s="17" t="n">
        <x:v>2.7</x:v>
      </x:c>
      <x:c r="I5" s="17" t="n">
        <x:v>1.2</x:v>
      </x:c>
      <x:c r="J5" s="17" t="n">
        <x:v>1.65</x:v>
      </x:c>
      <x:c r="K5" s="17" t="n">
        <x:v>2</x:v>
      </x:c>
      <x:c r="L5" s="17" t="n">
        <x:v>2.35</x:v>
      </x:c>
      <x:c r="M5" s="17" t="n">
        <x:v>2.7</x:v>
      </x:c>
      <x:c r="N5" s="17" t="n">
        <x:v>3.05</x:v>
      </x:c>
    </x:row>
    <x:row r="6" ht="26" customHeight="1">
      <x:c r="A6" s="15" t="n">
        <x:v>46151</x:v>
      </x:c>
      <x:c r="B6" s="17" t="n">
        <x:v>2.7</x:v>
      </x:c>
      <x:c r="C6" s="17" t="n">
        <x:v>3.05</x:v>
      </x:c>
      <x:c r="D6" s="17" t="n">
        <x:v>1.65</x:v>
      </x:c>
      <x:c r="E6" s="17" t="n">
        <x:v>2</x:v>
      </x:c>
      <x:c r="F6" s="17" t="n">
        <x:v>2.35</x:v>
      </x:c>
      <x:c r="G6" s="17" t="n">
        <x:v>2.7</x:v>
      </x:c>
      <x:c r="H6" s="17" t="n">
        <x:v>3.05</x:v>
      </x:c>
      <x:c r="I6" s="17" t="n">
        <x:v>1.65</x:v>
      </x:c>
      <x:c r="J6" s="17" t="n">
        <x:v>1.2</x:v>
      </x:c>
      <x:c r="K6" s="17" t="n">
        <x:v>2.35</x:v>
      </x:c>
      <x:c r="L6" s="17" t="n">
        <x:v>2.7</x:v>
      </x:c>
      <x:c r="M6" s="17" t="n">
        <x:v>3.05</x:v>
      </x:c>
      <x:c r="N6" s="17" t="n">
        <x:v>1.65</x:v>
      </x:c>
    </x:row>
    <x:row r="7" ht="26" customHeight="1">
      <x:c r="A7" s="15" t="n">
        <x:v>46182</x:v>
      </x:c>
      <x:c r="B7" s="17" t="n">
        <x:v>3.05</x:v>
      </x:c>
      <x:c r="C7" s="17" t="n">
        <x:v>1.65</x:v>
      </x:c>
      <x:c r="D7" s="17" t="n">
        <x:v>2</x:v>
      </x:c>
      <x:c r="E7" s="17" t="n">
        <x:v>2.35</x:v>
      </x:c>
      <x:c r="F7" s="17" t="n">
        <x:v>2.7</x:v>
      </x:c>
      <x:c r="G7" s="17" t="n">
        <x:v>3.05</x:v>
      </x:c>
      <x:c r="H7" s="17" t="n">
        <x:v>1.65</x:v>
      </x:c>
      <x:c r="I7" s="17" t="n">
        <x:v>2</x:v>
      </x:c>
      <x:c r="J7" s="17" t="n">
        <x:v>2.35</x:v>
      </x:c>
      <x:c r="K7" s="17" t="n">
        <x:v>1.2</x:v>
      </x:c>
      <x:c r="L7" s="17" t="n">
        <x:v>3.05</x:v>
      </x:c>
      <x:c r="M7" s="17" t="n">
        <x:v>1.65</x:v>
      </x:c>
      <x:c r="N7" s="17" t="n">
        <x:v>2</x:v>
      </x:c>
    </x:row>
    <x:row r="8" ht="26" customHeight="1">
      <x:c r="A8" s="15" t="n">
        <x:v>46212</x:v>
      </x:c>
      <x:c r="B8" s="17" t="n">
        <x:v>1.65</x:v>
      </x:c>
      <x:c r="C8" s="17" t="n">
        <x:v>2</x:v>
      </x:c>
      <x:c r="D8" s="17" t="n">
        <x:v>2.35</x:v>
      </x:c>
      <x:c r="E8" s="17" t="n">
        <x:v>2.7</x:v>
      </x:c>
      <x:c r="F8" s="17" t="n">
        <x:v>3.05</x:v>
      </x:c>
      <x:c r="G8" s="17" t="n">
        <x:v>1.65</x:v>
      </x:c>
      <x:c r="H8" s="17" t="n">
        <x:v>2</x:v>
      </x:c>
      <x:c r="I8" s="17" t="n">
        <x:v>2.35</x:v>
      </x:c>
      <x:c r="J8" s="17" t="n">
        <x:v>2.7</x:v>
      </x:c>
      <x:c r="K8" s="17" t="n">
        <x:v>3.05</x:v>
      </x:c>
      <x:c r="L8" s="17" t="n">
        <x:v>1.2</x:v>
      </x:c>
      <x:c r="M8" s="17" t="n">
        <x:v>2</x:v>
      </x:c>
      <x:c r="N8" s="17" t="n">
        <x:v>2.35</x:v>
      </x:c>
    </x:row>
    <x:row r="9" ht="26" customHeight="1">
      <x:c r="A9" s="15" t="n">
        <x:v>46243</x:v>
      </x:c>
      <x:c r="B9" s="17" t="n">
        <x:v>2</x:v>
      </x:c>
      <x:c r="C9" s="17" t="n">
        <x:v>2.35</x:v>
      </x:c>
      <x:c r="D9" s="17" t="n">
        <x:v>2.7</x:v>
      </x:c>
      <x:c r="E9" s="17" t="n">
        <x:v>3.05</x:v>
      </x:c>
      <x:c r="F9" s="17" t="n">
        <x:v>1.65</x:v>
      </x:c>
      <x:c r="G9" s="17" t="n">
        <x:v>2</x:v>
      </x:c>
      <x:c r="H9" s="17" t="n">
        <x:v>2.35</x:v>
      </x:c>
      <x:c r="I9" s="17" t="n">
        <x:v>2.7</x:v>
      </x:c>
      <x:c r="J9" s="17" t="n">
        <x:v>3.05</x:v>
      </x:c>
      <x:c r="K9" s="17" t="n">
        <x:v>1.65</x:v>
      </x:c>
      <x:c r="L9" s="17" t="n">
        <x:v>2</x:v>
      </x:c>
      <x:c r="M9" s="17" t="n">
        <x:v>1.2</x:v>
      </x:c>
      <x:c r="N9" s="17" t="n">
        <x:v>2.7</x:v>
      </x:c>
    </x:row>
    <x:row r="10" ht="26" customHeight="1">
      <x:c r="A10" s="15" t="n">
        <x:v>46274</x:v>
      </x:c>
      <x:c r="B10" s="17" t="n">
        <x:v>2.35</x:v>
      </x:c>
      <x:c r="C10" s="17" t="n">
        <x:v>2.7</x:v>
      </x:c>
      <x:c r="D10" s="17" t="n">
        <x:v>3.05</x:v>
      </x:c>
      <x:c r="E10" s="17" t="n">
        <x:v>1.65</x:v>
      </x:c>
      <x:c r="F10" s="17" t="n">
        <x:v>2</x:v>
      </x:c>
      <x:c r="G10" s="17" t="n">
        <x:v>2.35</x:v>
      </x:c>
      <x:c r="H10" s="17" t="n">
        <x:v>2.7</x:v>
      </x:c>
      <x:c r="I10" s="17" t="n">
        <x:v>3.05</x:v>
      </x:c>
      <x:c r="J10" s="17" t="n">
        <x:v>1.65</x:v>
      </x:c>
      <x:c r="K10" s="17" t="n">
        <x:v>2</x:v>
      </x:c>
      <x:c r="L10" s="17" t="n">
        <x:v>2.35</x:v>
      </x:c>
      <x:c r="M10" s="17" t="n">
        <x:v>2.7</x:v>
      </x:c>
      <x:c r="N10" s="17" t="n">
        <x:v>1.2</x:v>
      </x:c>
    </x:row>
  </x:sheetData>
  <x:conditionalFormatting sqref="B2:B10">
    <x:cfRule type="expression" dxfId="127" priority="1">
      <x:formula>AND(ISNUMBER(B2),OR(AND(ISNUMBER(Limits!$C$129),B2&lt;Limits!$C$129),AND(ISNUMBER(Limits!$D$129),B2&gt;Limits!$D$129)))</x:formula>
    </x:cfRule>
  </x:conditionalFormatting>
  <x:conditionalFormatting sqref="C2:C10">
    <x:cfRule type="expression" dxfId="128" priority="2">
      <x:formula>AND(ISNUMBER(C2),OR(AND(ISNUMBER(Limits!$C$130),C2&lt;Limits!$C$130),AND(ISNUMBER(Limits!$D$130),C2&gt;Limits!$D$130)))</x:formula>
    </x:cfRule>
  </x:conditionalFormatting>
  <x:conditionalFormatting sqref="D2:D10">
    <x:cfRule type="expression" dxfId="129" priority="3">
      <x:formula>AND(ISNUMBER(D2),OR(AND(ISNUMBER(Limits!$C$131),D2&lt;Limits!$C$131),AND(ISNUMBER(Limits!$D$131),D2&gt;Limits!$D$131)))</x:formula>
    </x:cfRule>
  </x:conditionalFormatting>
  <x:conditionalFormatting sqref="E2:E10">
    <x:cfRule type="expression" dxfId="130" priority="4">
      <x:formula>AND(ISNUMBER(E2),OR(AND(ISNUMBER(Limits!$C$132),E2&lt;Limits!$C$132),AND(ISNUMBER(Limits!$D$132),E2&gt;Limits!$D$132)))</x:formula>
    </x:cfRule>
  </x:conditionalFormatting>
  <x:conditionalFormatting sqref="F2:F10">
    <x:cfRule type="expression" dxfId="131" priority="5">
      <x:formula>AND(ISNUMBER(F2),OR(AND(ISNUMBER(Limits!$C$133),F2&lt;Limits!$C$133),AND(ISNUMBER(Limits!$D$133),F2&gt;Limits!$D$133)))</x:formula>
    </x:cfRule>
  </x:conditionalFormatting>
  <x:conditionalFormatting sqref="G2:G10">
    <x:cfRule type="expression" dxfId="132" priority="6">
      <x:formula>AND(ISNUMBER(G2),OR(AND(ISNUMBER(Limits!$C$134),G2&lt;Limits!$C$134),AND(ISNUMBER(Limits!$D$134),G2&gt;Limits!$D$134)))</x:formula>
    </x:cfRule>
  </x:conditionalFormatting>
  <x:conditionalFormatting sqref="H2:H10">
    <x:cfRule type="expression" dxfId="133" priority="7">
      <x:formula>AND(ISNUMBER(H2),OR(AND(ISNUMBER(Limits!$C$135),H2&lt;Limits!$C$135),AND(ISNUMBER(Limits!$D$135),H2&gt;Limits!$D$135)))</x:formula>
    </x:cfRule>
  </x:conditionalFormatting>
  <x:conditionalFormatting sqref="I2:I10">
    <x:cfRule type="expression" dxfId="134" priority="8">
      <x:formula>AND(ISNUMBER(I2),OR(AND(ISNUMBER(Limits!$C$136),I2&lt;Limits!$C$136),AND(ISNUMBER(Limits!$D$136),I2&gt;Limits!$D$136)))</x:formula>
    </x:cfRule>
  </x:conditionalFormatting>
  <x:conditionalFormatting sqref="J2:J10">
    <x:cfRule type="expression" dxfId="135" priority="9">
      <x:formula>AND(ISNUMBER(J2),OR(AND(ISNUMBER(Limits!$C$137),J2&lt;Limits!$C$137),AND(ISNUMBER(Limits!$D$137),J2&gt;Limits!$D$137)))</x:formula>
    </x:cfRule>
  </x:conditionalFormatting>
  <x:conditionalFormatting sqref="K2:K10">
    <x:cfRule type="expression" dxfId="136" priority="10">
      <x:formula>AND(ISNUMBER(K2),OR(AND(ISNUMBER(Limits!$C$138),K2&lt;Limits!$C$138),AND(ISNUMBER(Limits!$D$138),K2&gt;Limits!$D$138)))</x:formula>
    </x:cfRule>
  </x:conditionalFormatting>
  <x:conditionalFormatting sqref="L2:L10">
    <x:cfRule type="expression" dxfId="137" priority="11">
      <x:formula>AND(ISNUMBER(L2),OR(AND(ISNUMBER(Limits!$C$139),L2&lt;Limits!$C$139),AND(ISNUMBER(Limits!$D$139),L2&gt;Limits!$D$139)))</x:formula>
    </x:cfRule>
  </x:conditionalFormatting>
  <x:conditionalFormatting sqref="M2:M10">
    <x:cfRule type="expression" dxfId="138" priority="12">
      <x:formula>AND(ISNUMBER(M2),OR(AND(ISNUMBER(Limits!$C$140),M2&lt;Limits!$C$140),AND(ISNUMBER(Limits!$D$140),M2&gt;Limits!$D$140)))</x:formula>
    </x:cfRule>
  </x:conditionalFormatting>
  <x:conditionalFormatting sqref="N2:N10">
    <x:cfRule type="expression" dxfId="139" priority="13">
      <x:formula>AND(ISNUMBER(N2),OR(AND(ISNUMBER(Limits!$C$141),N2&lt;Limits!$C$141),AND(ISNUMBER(Limits!$D$141),N2&gt;Limits!$D$141)))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0664102303424d"/>
  </x:tableParts>
</x:worksheet>
</file>

<file path=xl/worksheets/sheet16.xml><?xml version="1.0" encoding="utf-8"?>
<x:worksheet xmlns:x="http://schemas.openxmlformats.org/spreadsheetml/2006/main">
  <x:sheetPr>
    <x:tabColor rgb="FFC7712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6" customHeight="1">
      <x:c r="A1" s="20" t="str">
        <x:v>Date</x:v>
      </x:c>
      <x:c r="B1" s="20" t="str">
        <x:v>1st A</x:v>
      </x:c>
      <x:c r="C1" s="20" t="str">
        <x:v>1st B</x:v>
      </x:c>
      <x:c r="D1" s="20" t="str">
        <x:v>1st C</x:v>
      </x:c>
      <x:c r="E1" s="20" t="str">
        <x:v>1st D</x:v>
      </x:c>
      <x:c r="F1" s="20" t="str">
        <x:v>2nd A</x:v>
      </x:c>
      <x:c r="G1" s="20" t="str">
        <x:v>2nd B</x:v>
      </x:c>
      <x:c r="H1" s="20" t="str">
        <x:v>3rd</x:v>
      </x:c>
      <x:c r="I1" s="20" t="str">
        <x:v>4th</x:v>
      </x:c>
      <x:c r="J1" s="20" t="str">
        <x:v>5th</x:v>
      </x:c>
      <x:c r="K1" s="20" t="str">
        <x:v>6th</x:v>
      </x:c>
      <x:c r="L1" s="20" t="str">
        <x:v>Rev A</x:v>
      </x:c>
      <x:c r="M1" s="20" t="str">
        <x:v>Rev B</x:v>
      </x:c>
      <x:c r="N1" s="20" t="str">
        <x:v>Rev C</x:v>
      </x:c>
      <x:c r="O1" s="20" t="str">
        <x:v>Rev D</x:v>
      </x:c>
    </x:row>
    <x:row r="2" ht="26" customHeight="1">
      <x:c r="A2" s="15" t="n">
        <x:v>46032</x:v>
      </x:c>
      <x:c r="B2" s="17" t="n">
        <x:v>1.65</x:v>
      </x:c>
      <x:c r="C2" s="17" t="n">
        <x:v>2</x:v>
      </x:c>
      <x:c r="D2" s="17" t="n">
        <x:v>2.35</x:v>
      </x:c>
      <x:c r="E2" s="17" t="n">
        <x:v>2.7</x:v>
      </x:c>
      <x:c r="F2" s="17" t="n">
        <x:v>3.05</x:v>
      </x:c>
      <x:c r="G2" s="17" t="n">
        <x:v>1.2</x:v>
      </x:c>
      <x:c r="H2" s="17" t="n">
        <x:v>2</x:v>
      </x:c>
      <x:c r="I2" s="17" t="n">
        <x:v>2.35</x:v>
      </x:c>
      <x:c r="J2" s="17" t="n">
        <x:v>2.7</x:v>
      </x:c>
      <x:c r="K2" s="17" t="n">
        <x:v>3.05</x:v>
      </x:c>
      <x:c r="L2" s="17" t="n">
        <x:v>1.65</x:v>
      </x:c>
      <x:c r="M2" s="17" t="n">
        <x:v>2</x:v>
      </x:c>
      <x:c r="N2" s="17" t="n">
        <x:v>2.35</x:v>
      </x:c>
      <x:c r="O2" s="17" t="n">
        <x:v>2.7</x:v>
      </x:c>
    </x:row>
    <x:row r="3" ht="26" customHeight="1">
      <x:c r="A3" s="15" t="n">
        <x:v>46063</x:v>
      </x:c>
      <x:c r="B3" s="17" t="n">
        <x:v>2</x:v>
      </x:c>
      <x:c r="C3" s="17" t="n">
        <x:v>2.35</x:v>
      </x:c>
      <x:c r="D3" s="17" t="n">
        <x:v>2.7</x:v>
      </x:c>
      <x:c r="E3" s="17" t="n">
        <x:v>3.05</x:v>
      </x:c>
      <x:c r="F3" s="17" t="n">
        <x:v>1.65</x:v>
      </x:c>
      <x:c r="G3" s="17" t="n">
        <x:v>2</x:v>
      </x:c>
      <x:c r="H3" s="17" t="n">
        <x:v>1.2</x:v>
      </x:c>
      <x:c r="I3" s="17" t="n">
        <x:v>2.7</x:v>
      </x:c>
      <x:c r="J3" s="17" t="n">
        <x:v>3.05</x:v>
      </x:c>
      <x:c r="K3" s="17" t="n">
        <x:v>1.65</x:v>
      </x:c>
      <x:c r="L3" s="17" t="n">
        <x:v>2</x:v>
      </x:c>
      <x:c r="M3" s="17" t="n">
        <x:v>2.35</x:v>
      </x:c>
      <x:c r="N3" s="17" t="n">
        <x:v>2.7</x:v>
      </x:c>
      <x:c r="O3" s="17" t="n">
        <x:v>3.05</x:v>
      </x:c>
    </x:row>
    <x:row r="4" ht="26" customHeight="1">
      <x:c r="A4" s="15" t="n">
        <x:v>46091</x:v>
      </x:c>
      <x:c r="B4" s="17" t="n">
        <x:v>2.35</x:v>
      </x:c>
      <x:c r="C4" s="17" t="n">
        <x:v>2.7</x:v>
      </x:c>
      <x:c r="D4" s="17" t="n">
        <x:v>3.05</x:v>
      </x:c>
      <x:c r="E4" s="17" t="n">
        <x:v>1.65</x:v>
      </x:c>
      <x:c r="F4" s="17" t="n">
        <x:v>2</x:v>
      </x:c>
      <x:c r="G4" s="17" t="n">
        <x:v>2.35</x:v>
      </x:c>
      <x:c r="H4" s="17" t="n">
        <x:v>2.7</x:v>
      </x:c>
      <x:c r="I4" s="17" t="n">
        <x:v>1.2</x:v>
      </x:c>
      <x:c r="J4" s="17" t="n">
        <x:v>1.65</x:v>
      </x:c>
      <x:c r="K4" s="17" t="n">
        <x:v>2</x:v>
      </x:c>
      <x:c r="L4" s="17" t="n">
        <x:v>2.35</x:v>
      </x:c>
      <x:c r="M4" s="17" t="n">
        <x:v>2.7</x:v>
      </x:c>
      <x:c r="N4" s="17" t="n">
        <x:v>3.05</x:v>
      </x:c>
      <x:c r="O4" s="17" t="n">
        <x:v>1.65</x:v>
      </x:c>
    </x:row>
    <x:row r="5" ht="26" customHeight="1">
      <x:c r="A5" s="15" t="n">
        <x:v>46122</x:v>
      </x:c>
      <x:c r="B5" s="17" t="n">
        <x:v>2.7</x:v>
      </x:c>
      <x:c r="C5" s="17" t="n">
        <x:v>3.05</x:v>
      </x:c>
      <x:c r="D5" s="17" t="n">
        <x:v>1.65</x:v>
      </x:c>
      <x:c r="E5" s="17" t="n">
        <x:v>2</x:v>
      </x:c>
      <x:c r="F5" s="17" t="n">
        <x:v>2.35</x:v>
      </x:c>
      <x:c r="G5" s="17" t="n">
        <x:v>2.7</x:v>
      </x:c>
      <x:c r="H5" s="17" t="n">
        <x:v>3.05</x:v>
      </x:c>
      <x:c r="I5" s="17" t="n">
        <x:v>1.65</x:v>
      </x:c>
      <x:c r="J5" s="17" t="n">
        <x:v>1.2</x:v>
      </x:c>
      <x:c r="K5" s="17" t="n">
        <x:v>2.35</x:v>
      </x:c>
      <x:c r="L5" s="17" t="n">
        <x:v>2.7</x:v>
      </x:c>
      <x:c r="M5" s="17" t="n">
        <x:v>3.05</x:v>
      </x:c>
      <x:c r="N5" s="17" t="n">
        <x:v>1.65</x:v>
      </x:c>
      <x:c r="O5" s="17" t="n">
        <x:v>2</x:v>
      </x:c>
    </x:row>
    <x:row r="6" ht="26" customHeight="1">
      <x:c r="A6" s="15" t="n">
        <x:v>46152</x:v>
      </x:c>
      <x:c r="B6" s="17" t="n">
        <x:v>3.05</x:v>
      </x:c>
      <x:c r="C6" s="17" t="n">
        <x:v>1.65</x:v>
      </x:c>
      <x:c r="D6" s="17" t="n">
        <x:v>2</x:v>
      </x:c>
      <x:c r="E6" s="17" t="n">
        <x:v>2.35</x:v>
      </x:c>
      <x:c r="F6" s="17" t="n">
        <x:v>2.7</x:v>
      </x:c>
      <x:c r="G6" s="17" t="n">
        <x:v>3.05</x:v>
      </x:c>
      <x:c r="H6" s="17" t="n">
        <x:v>1.65</x:v>
      </x:c>
      <x:c r="I6" s="17" t="n">
        <x:v>2</x:v>
      </x:c>
      <x:c r="J6" s="17" t="n">
        <x:v>2.35</x:v>
      </x:c>
      <x:c r="K6" s="17" t="n">
        <x:v>1.2</x:v>
      </x:c>
      <x:c r="L6" s="17" t="n">
        <x:v>3.05</x:v>
      </x:c>
      <x:c r="M6" s="17" t="n">
        <x:v>1.65</x:v>
      </x:c>
      <x:c r="N6" s="17" t="n">
        <x:v>2</x:v>
      </x:c>
      <x:c r="O6" s="17" t="n">
        <x:v>2.35</x:v>
      </x:c>
    </x:row>
    <x:row r="7" ht="26" customHeight="1">
      <x:c r="A7" s="15" t="n">
        <x:v>46183</x:v>
      </x:c>
      <x:c r="B7" s="17" t="n">
        <x:v>1.65</x:v>
      </x:c>
      <x:c r="C7" s="17" t="n">
        <x:v>2</x:v>
      </x:c>
      <x:c r="D7" s="17" t="n">
        <x:v>2.35</x:v>
      </x:c>
      <x:c r="E7" s="17" t="n">
        <x:v>2.7</x:v>
      </x:c>
      <x:c r="F7" s="17" t="n">
        <x:v>3.05</x:v>
      </x:c>
      <x:c r="G7" s="17" t="n">
        <x:v>1.65</x:v>
      </x:c>
      <x:c r="H7" s="17" t="n">
        <x:v>2</x:v>
      </x:c>
      <x:c r="I7" s="17" t="n">
        <x:v>2.35</x:v>
      </x:c>
      <x:c r="J7" s="17" t="n">
        <x:v>2.7</x:v>
      </x:c>
      <x:c r="K7" s="17" t="n">
        <x:v>3.05</x:v>
      </x:c>
      <x:c r="L7" s="17" t="n">
        <x:v>1.2</x:v>
      </x:c>
      <x:c r="M7" s="17" t="n">
        <x:v>2</x:v>
      </x:c>
      <x:c r="N7" s="17" t="n">
        <x:v>2.35</x:v>
      </x:c>
      <x:c r="O7" s="17" t="n">
        <x:v>2.7</x:v>
      </x:c>
    </x:row>
    <x:row r="8" ht="26" customHeight="1">
      <x:c r="A8" s="15" t="n">
        <x:v>46213</x:v>
      </x:c>
      <x:c r="B8" s="17" t="n">
        <x:v>2</x:v>
      </x:c>
      <x:c r="C8" s="17" t="n">
        <x:v>2.35</x:v>
      </x:c>
      <x:c r="D8" s="17" t="n">
        <x:v>2.7</x:v>
      </x:c>
      <x:c r="E8" s="17" t="n">
        <x:v>3.05</x:v>
      </x:c>
      <x:c r="F8" s="17" t="n">
        <x:v>1.65</x:v>
      </x:c>
      <x:c r="G8" s="17" t="n">
        <x:v>2</x:v>
      </x:c>
      <x:c r="H8" s="17" t="n">
        <x:v>2.35</x:v>
      </x:c>
      <x:c r="I8" s="17" t="n">
        <x:v>2.7</x:v>
      </x:c>
      <x:c r="J8" s="17" t="n">
        <x:v>3.05</x:v>
      </x:c>
      <x:c r="K8" s="17" t="n">
        <x:v>1.65</x:v>
      </x:c>
      <x:c r="L8" s="17" t="n">
        <x:v>2</x:v>
      </x:c>
      <x:c r="M8" s="17" t="n">
        <x:v>1.2</x:v>
      </x:c>
      <x:c r="N8" s="17" t="n">
        <x:v>2.7</x:v>
      </x:c>
      <x:c r="O8" s="17" t="n">
        <x:v>3.05</x:v>
      </x:c>
    </x:row>
    <x:row r="9" ht="26" customHeight="1">
      <x:c r="A9" s="15" t="n">
        <x:v>46244</x:v>
      </x:c>
      <x:c r="B9" s="17" t="n">
        <x:v>2.35</x:v>
      </x:c>
      <x:c r="C9" s="17" t="n">
        <x:v>2.7</x:v>
      </x:c>
      <x:c r="D9" s="17" t="n">
        <x:v>3.05</x:v>
      </x:c>
      <x:c r="E9" s="17" t="n">
        <x:v>1.65</x:v>
      </x:c>
      <x:c r="F9" s="17" t="n">
        <x:v>2</x:v>
      </x:c>
      <x:c r="G9" s="17" t="n">
        <x:v>2.35</x:v>
      </x:c>
      <x:c r="H9" s="17" t="n">
        <x:v>2.7</x:v>
      </x:c>
      <x:c r="I9" s="17" t="n">
        <x:v>3.05</x:v>
      </x:c>
      <x:c r="J9" s="17" t="n">
        <x:v>1.65</x:v>
      </x:c>
      <x:c r="K9" s="17" t="n">
        <x:v>2</x:v>
      </x:c>
      <x:c r="L9" s="17" t="n">
        <x:v>2.35</x:v>
      </x:c>
      <x:c r="M9" s="17" t="n">
        <x:v>2.7</x:v>
      </x:c>
      <x:c r="N9" s="17" t="n">
        <x:v>1.2</x:v>
      </x:c>
      <x:c r="O9" s="17" t="n">
        <x:v>1.65</x:v>
      </x:c>
    </x:row>
    <x:row r="10" ht="26" customHeight="1">
      <x:c r="A10" s="15" t="n">
        <x:v>46275</x:v>
      </x:c>
      <x:c r="B10" s="17" t="n">
        <x:v>2.7</x:v>
      </x:c>
      <x:c r="C10" s="17" t="n">
        <x:v>3.05</x:v>
      </x:c>
      <x:c r="D10" s="17" t="n">
        <x:v>1.65</x:v>
      </x:c>
      <x:c r="E10" s="17" t="n">
        <x:v>2</x:v>
      </x:c>
      <x:c r="F10" s="17" t="n">
        <x:v>2.35</x:v>
      </x:c>
      <x:c r="G10" s="17" t="n">
        <x:v>2.7</x:v>
      </x:c>
      <x:c r="H10" s="17" t="n">
        <x:v>3.05</x:v>
      </x:c>
      <x:c r="I10" s="17" t="n">
        <x:v>1.65</x:v>
      </x:c>
      <x:c r="J10" s="17" t="n">
        <x:v>2</x:v>
      </x:c>
      <x:c r="K10" s="17" t="n">
        <x:v>2.35</x:v>
      </x:c>
      <x:c r="L10" s="17" t="n">
        <x:v>2.7</x:v>
      </x:c>
      <x:c r="M10" s="17" t="n">
        <x:v>3.05</x:v>
      </x:c>
      <x:c r="N10" s="17" t="n">
        <x:v>1.65</x:v>
      </x:c>
      <x:c r="O10" s="17" t="n">
        <x:v>1.2</x:v>
      </x:c>
    </x:row>
  </x:sheetData>
  <x:conditionalFormatting sqref="B2:B10">
    <x:cfRule type="expression" dxfId="140" priority="1">
      <x:formula>AND(ISNUMBER(B2),OR(AND(ISNUMBER(Limits!$C$142),B2&lt;Limits!$C$142),AND(ISNUMBER(Limits!$D$142),B2&gt;Limits!$D$142)))</x:formula>
    </x:cfRule>
  </x:conditionalFormatting>
  <x:conditionalFormatting sqref="C2:C10">
    <x:cfRule type="expression" dxfId="141" priority="2">
      <x:formula>AND(ISNUMBER(C2),OR(AND(ISNUMBER(Limits!$C$143),C2&lt;Limits!$C$143),AND(ISNUMBER(Limits!$D$143),C2&gt;Limits!$D$143)))</x:formula>
    </x:cfRule>
  </x:conditionalFormatting>
  <x:conditionalFormatting sqref="D2:D10">
    <x:cfRule type="expression" dxfId="142" priority="3">
      <x:formula>AND(ISNUMBER(D2),OR(AND(ISNUMBER(Limits!$C$144),D2&lt;Limits!$C$144),AND(ISNUMBER(Limits!$D$144),D2&gt;Limits!$D$144)))</x:formula>
    </x:cfRule>
  </x:conditionalFormatting>
  <x:conditionalFormatting sqref="E2:E10">
    <x:cfRule type="expression" dxfId="143" priority="4">
      <x:formula>AND(ISNUMBER(E2),OR(AND(ISNUMBER(Limits!$C$145),E2&lt;Limits!$C$145),AND(ISNUMBER(Limits!$D$145),E2&gt;Limits!$D$145)))</x:formula>
    </x:cfRule>
  </x:conditionalFormatting>
  <x:conditionalFormatting sqref="F2:F10">
    <x:cfRule type="expression" dxfId="144" priority="5">
      <x:formula>AND(ISNUMBER(F2),OR(AND(ISNUMBER(Limits!$C$146),F2&lt;Limits!$C$146),AND(ISNUMBER(Limits!$D$146),F2&gt;Limits!$D$146)))</x:formula>
    </x:cfRule>
  </x:conditionalFormatting>
  <x:conditionalFormatting sqref="G2:G10">
    <x:cfRule type="expression" dxfId="145" priority="6">
      <x:formula>AND(ISNUMBER(G2),OR(AND(ISNUMBER(Limits!$C$147),G2&lt;Limits!$C$147),AND(ISNUMBER(Limits!$D$147),G2&gt;Limits!$D$147)))</x:formula>
    </x:cfRule>
  </x:conditionalFormatting>
  <x:conditionalFormatting sqref="H2:H10">
    <x:cfRule type="expression" dxfId="146" priority="7">
      <x:formula>AND(ISNUMBER(H2),OR(AND(ISNUMBER(Limits!$C$148),H2&lt;Limits!$C$148),AND(ISNUMBER(Limits!$D$148),H2&gt;Limits!$D$148)))</x:formula>
    </x:cfRule>
  </x:conditionalFormatting>
  <x:conditionalFormatting sqref="I2:I10">
    <x:cfRule type="expression" dxfId="147" priority="8">
      <x:formula>AND(ISNUMBER(I2),OR(AND(ISNUMBER(Limits!$C$149),I2&lt;Limits!$C$149),AND(ISNUMBER(Limits!$D$149),I2&gt;Limits!$D$149)))</x:formula>
    </x:cfRule>
  </x:conditionalFormatting>
  <x:conditionalFormatting sqref="J2:J10">
    <x:cfRule type="expression" dxfId="148" priority="9">
      <x:formula>AND(ISNUMBER(J2),OR(AND(ISNUMBER(Limits!$C$150),J2&lt;Limits!$C$150),AND(ISNUMBER(Limits!$D$150),J2&gt;Limits!$D$150)))</x:formula>
    </x:cfRule>
  </x:conditionalFormatting>
  <x:conditionalFormatting sqref="K2:K10">
    <x:cfRule type="expression" dxfId="149" priority="10">
      <x:formula>AND(ISNUMBER(K2),OR(AND(ISNUMBER(Limits!$C$151),K2&lt;Limits!$C$151),AND(ISNUMBER(Limits!$D$151),K2&gt;Limits!$D$151)))</x:formula>
    </x:cfRule>
  </x:conditionalFormatting>
  <x:conditionalFormatting sqref="L2:L10">
    <x:cfRule type="expression" dxfId="150" priority="11">
      <x:formula>AND(ISNUMBER(L2),OR(AND(ISNUMBER(Limits!$C$152),L2&lt;Limits!$C$152),AND(ISNUMBER(Limits!$D$152),L2&gt;Limits!$D$152)))</x:formula>
    </x:cfRule>
  </x:conditionalFormatting>
  <x:conditionalFormatting sqref="M2:M10">
    <x:cfRule type="expression" dxfId="151" priority="12">
      <x:formula>AND(ISNUMBER(M2),OR(AND(ISNUMBER(Limits!$C$153),M2&lt;Limits!$C$153),AND(ISNUMBER(Limits!$D$153),M2&gt;Limits!$D$153)))</x:formula>
    </x:cfRule>
  </x:conditionalFormatting>
  <x:conditionalFormatting sqref="N2:N10">
    <x:cfRule type="expression" dxfId="152" priority="13">
      <x:formula>AND(ISNUMBER(N2),OR(AND(ISNUMBER(Limits!$C$154),N2&lt;Limits!$C$154),AND(ISNUMBER(Limits!$D$154),N2&gt;Limits!$D$154)))</x:formula>
    </x:cfRule>
  </x:conditionalFormatting>
  <x:conditionalFormatting sqref="O2:O10">
    <x:cfRule type="expression" dxfId="153" priority="14">
      <x:formula>AND(ISNUMBER(O2),OR(AND(ISNUMBER(Limits!$C$155),O2&lt;Limits!$C$155),AND(ISNUMBER(Limits!$D$155),O2&gt;Limits!$D$155)))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2fb6ae2bce4c33"/>
  </x:tableParts>
</x:worksheet>
</file>

<file path=xl/worksheets/sheet17.xml><?xml version="1.0" encoding="utf-8"?>
<x:worksheet xmlns:x="http://schemas.openxmlformats.org/spreadsheetml/2006/main">
  <x:sheetPr>
    <x:tabColor rgb="FFC7712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6" customHeight="1">
      <x:c r="A1" s="20" t="str">
        <x:v>Date</x:v>
      </x:c>
      <x:c r="B1" s="20" t="str">
        <x:v>1st A</x:v>
      </x:c>
      <x:c r="C1" s="20" t="str">
        <x:v>1st B</x:v>
      </x:c>
      <x:c r="D1" s="20" t="str">
        <x:v>1st C</x:v>
      </x:c>
      <x:c r="E1" s="20" t="str">
        <x:v>1st D</x:v>
      </x:c>
      <x:c r="F1" s="20" t="str">
        <x:v>2nd A</x:v>
      </x:c>
      <x:c r="G1" s="20" t="str">
        <x:v>2nd B</x:v>
      </x:c>
      <x:c r="H1" s="20" t="str">
        <x:v>3rd</x:v>
      </x:c>
      <x:c r="I1" s="20" t="str">
        <x:v>4th</x:v>
      </x:c>
      <x:c r="J1" s="20" t="str">
        <x:v>5th</x:v>
      </x:c>
      <x:c r="K1" s="20" t="str">
        <x:v>6th</x:v>
      </x:c>
      <x:c r="L1" s="20" t="str">
        <x:v>Rev A</x:v>
      </x:c>
      <x:c r="M1" s="20" t="str">
        <x:v>Rev B</x:v>
      </x:c>
      <x:c r="N1" s="20" t="str">
        <x:v>Rev C</x:v>
      </x:c>
      <x:c r="O1" s="20" t="str">
        <x:v>Rev D</x:v>
      </x:c>
    </x:row>
    <x:row r="2" ht="26" customHeight="1">
      <x:c r="A2" s="15" t="n">
        <x:v>46033</x:v>
      </x:c>
      <x:c r="B2" s="17" t="n">
        <x:v>2</x:v>
      </x:c>
      <x:c r="C2" s="17" t="n">
        <x:v>2.35</x:v>
      </x:c>
      <x:c r="D2" s="17" t="n">
        <x:v>2.7</x:v>
      </x:c>
      <x:c r="E2" s="17" t="n">
        <x:v>3.05</x:v>
      </x:c>
      <x:c r="F2" s="17" t="n">
        <x:v>1.65</x:v>
      </x:c>
      <x:c r="G2" s="17" t="n">
        <x:v>2</x:v>
      </x:c>
      <x:c r="H2" s="17" t="n">
        <x:v>1.2</x:v>
      </x:c>
      <x:c r="I2" s="17" t="n">
        <x:v>2.7</x:v>
      </x:c>
      <x:c r="J2" s="17" t="n">
        <x:v>3.05</x:v>
      </x:c>
      <x:c r="K2" s="17" t="n">
        <x:v>1.65</x:v>
      </x:c>
      <x:c r="L2" s="17" t="n">
        <x:v>2</x:v>
      </x:c>
      <x:c r="M2" s="17" t="n">
        <x:v>2.35</x:v>
      </x:c>
      <x:c r="N2" s="17" t="n">
        <x:v>2.7</x:v>
      </x:c>
      <x:c r="O2" s="17" t="n">
        <x:v>3.05</x:v>
      </x:c>
    </x:row>
    <x:row r="3" ht="26" customHeight="1">
      <x:c r="A3" s="15" t="n">
        <x:v>46064</x:v>
      </x:c>
      <x:c r="B3" s="17" t="n">
        <x:v>2.35</x:v>
      </x:c>
      <x:c r="C3" s="17" t="n">
        <x:v>2.7</x:v>
      </x:c>
      <x:c r="D3" s="17" t="n">
        <x:v>3.05</x:v>
      </x:c>
      <x:c r="E3" s="17" t="n">
        <x:v>1.65</x:v>
      </x:c>
      <x:c r="F3" s="17" t="n">
        <x:v>2</x:v>
      </x:c>
      <x:c r="G3" s="17" t="n">
        <x:v>2.35</x:v>
      </x:c>
      <x:c r="H3" s="17" t="n">
        <x:v>2.7</x:v>
      </x:c>
      <x:c r="I3" s="17" t="n">
        <x:v>1.2</x:v>
      </x:c>
      <x:c r="J3" s="17" t="n">
        <x:v>1.65</x:v>
      </x:c>
      <x:c r="K3" s="17" t="n">
        <x:v>2</x:v>
      </x:c>
      <x:c r="L3" s="17" t="n">
        <x:v>2.35</x:v>
      </x:c>
      <x:c r="M3" s="17" t="n">
        <x:v>2.7</x:v>
      </x:c>
      <x:c r="N3" s="17" t="n">
        <x:v>3.05</x:v>
      </x:c>
      <x:c r="O3" s="17" t="n">
        <x:v>1.65</x:v>
      </x:c>
    </x:row>
    <x:row r="4" ht="26" customHeight="1">
      <x:c r="A4" s="15" t="n">
        <x:v>46092</x:v>
      </x:c>
      <x:c r="B4" s="17" t="n">
        <x:v>2.7</x:v>
      </x:c>
      <x:c r="C4" s="17" t="n">
        <x:v>3.05</x:v>
      </x:c>
      <x:c r="D4" s="17" t="n">
        <x:v>1.65</x:v>
      </x:c>
      <x:c r="E4" s="17" t="n">
        <x:v>2</x:v>
      </x:c>
      <x:c r="F4" s="17" t="n">
        <x:v>2.35</x:v>
      </x:c>
      <x:c r="G4" s="17" t="n">
        <x:v>2.7</x:v>
      </x:c>
      <x:c r="H4" s="17" t="n">
        <x:v>3.05</x:v>
      </x:c>
      <x:c r="I4" s="17" t="n">
        <x:v>1.65</x:v>
      </x:c>
      <x:c r="J4" s="17" t="n">
        <x:v>1.2</x:v>
      </x:c>
      <x:c r="K4" s="17" t="n">
        <x:v>2.35</x:v>
      </x:c>
      <x:c r="L4" s="17" t="n">
        <x:v>2.7</x:v>
      </x:c>
      <x:c r="M4" s="17" t="n">
        <x:v>3.05</x:v>
      </x:c>
      <x:c r="N4" s="17" t="n">
        <x:v>1.65</x:v>
      </x:c>
      <x:c r="O4" s="17" t="n">
        <x:v>2</x:v>
      </x:c>
    </x:row>
    <x:row r="5" ht="26" customHeight="1">
      <x:c r="A5" s="15" t="n">
        <x:v>46123</x:v>
      </x:c>
      <x:c r="B5" s="17" t="n">
        <x:v>3.05</x:v>
      </x:c>
      <x:c r="C5" s="17" t="n">
        <x:v>1.65</x:v>
      </x:c>
      <x:c r="D5" s="17" t="n">
        <x:v>2</x:v>
      </x:c>
      <x:c r="E5" s="17" t="n">
        <x:v>2.35</x:v>
      </x:c>
      <x:c r="F5" s="17" t="n">
        <x:v>2.7</x:v>
      </x:c>
      <x:c r="G5" s="17" t="n">
        <x:v>3.05</x:v>
      </x:c>
      <x:c r="H5" s="17" t="n">
        <x:v>1.65</x:v>
      </x:c>
      <x:c r="I5" s="17" t="n">
        <x:v>2</x:v>
      </x:c>
      <x:c r="J5" s="17" t="n">
        <x:v>2.35</x:v>
      </x:c>
      <x:c r="K5" s="17" t="n">
        <x:v>1.2</x:v>
      </x:c>
      <x:c r="L5" s="17" t="n">
        <x:v>3.05</x:v>
      </x:c>
      <x:c r="M5" s="17" t="n">
        <x:v>1.65</x:v>
      </x:c>
      <x:c r="N5" s="17" t="n">
        <x:v>2</x:v>
      </x:c>
      <x:c r="O5" s="17" t="n">
        <x:v>2.35</x:v>
      </x:c>
    </x:row>
    <x:row r="6" ht="26" customHeight="1">
      <x:c r="A6" s="15" t="n">
        <x:v>46153</x:v>
      </x:c>
      <x:c r="B6" s="17" t="n">
        <x:v>1.65</x:v>
      </x:c>
      <x:c r="C6" s="17" t="n">
        <x:v>2</x:v>
      </x:c>
      <x:c r="D6" s="17" t="n">
        <x:v>2.35</x:v>
      </x:c>
      <x:c r="E6" s="17" t="n">
        <x:v>2.7</x:v>
      </x:c>
      <x:c r="F6" s="17" t="n">
        <x:v>3.05</x:v>
      </x:c>
      <x:c r="G6" s="17" t="n">
        <x:v>1.65</x:v>
      </x:c>
      <x:c r="H6" s="17" t="n">
        <x:v>2</x:v>
      </x:c>
      <x:c r="I6" s="17" t="n">
        <x:v>2.35</x:v>
      </x:c>
      <x:c r="J6" s="17" t="n">
        <x:v>2.7</x:v>
      </x:c>
      <x:c r="K6" s="17" t="n">
        <x:v>3.05</x:v>
      </x:c>
      <x:c r="L6" s="17" t="n">
        <x:v>1.2</x:v>
      </x:c>
      <x:c r="M6" s="17" t="n">
        <x:v>2</x:v>
      </x:c>
      <x:c r="N6" s="17" t="n">
        <x:v>2.35</x:v>
      </x:c>
      <x:c r="O6" s="17" t="n">
        <x:v>2.7</x:v>
      </x:c>
    </x:row>
    <x:row r="7" ht="26" customHeight="1">
      <x:c r="A7" s="15" t="n">
        <x:v>46184</x:v>
      </x:c>
      <x:c r="B7" s="17" t="n">
        <x:v>2</x:v>
      </x:c>
      <x:c r="C7" s="17" t="n">
        <x:v>2.35</x:v>
      </x:c>
      <x:c r="D7" s="17" t="n">
        <x:v>2.7</x:v>
      </x:c>
      <x:c r="E7" s="17" t="n">
        <x:v>3.05</x:v>
      </x:c>
      <x:c r="F7" s="17" t="n">
        <x:v>1.65</x:v>
      </x:c>
      <x:c r="G7" s="17" t="n">
        <x:v>2</x:v>
      </x:c>
      <x:c r="H7" s="17" t="n">
        <x:v>2.35</x:v>
      </x:c>
      <x:c r="I7" s="17" t="n">
        <x:v>2.7</x:v>
      </x:c>
      <x:c r="J7" s="17" t="n">
        <x:v>3.05</x:v>
      </x:c>
      <x:c r="K7" s="17" t="n">
        <x:v>1.65</x:v>
      </x:c>
      <x:c r="L7" s="17" t="n">
        <x:v>2</x:v>
      </x:c>
      <x:c r="M7" s="17" t="n">
        <x:v>1.2</x:v>
      </x:c>
      <x:c r="N7" s="17" t="n">
        <x:v>2.7</x:v>
      </x:c>
      <x:c r="O7" s="17" t="n">
        <x:v>3.05</x:v>
      </x:c>
    </x:row>
    <x:row r="8" ht="26" customHeight="1">
      <x:c r="A8" s="15" t="n">
        <x:v>46214</x:v>
      </x:c>
      <x:c r="B8" s="17" t="n">
        <x:v>2.35</x:v>
      </x:c>
      <x:c r="C8" s="17" t="n">
        <x:v>2.7</x:v>
      </x:c>
      <x:c r="D8" s="17" t="n">
        <x:v>3.05</x:v>
      </x:c>
      <x:c r="E8" s="17" t="n">
        <x:v>1.65</x:v>
      </x:c>
      <x:c r="F8" s="17" t="n">
        <x:v>2</x:v>
      </x:c>
      <x:c r="G8" s="17" t="n">
        <x:v>2.35</x:v>
      </x:c>
      <x:c r="H8" s="17" t="n">
        <x:v>2.7</x:v>
      </x:c>
      <x:c r="I8" s="17" t="n">
        <x:v>3.05</x:v>
      </x:c>
      <x:c r="J8" s="17" t="n">
        <x:v>1.65</x:v>
      </x:c>
      <x:c r="K8" s="17" t="n">
        <x:v>2</x:v>
      </x:c>
      <x:c r="L8" s="17" t="n">
        <x:v>2.35</x:v>
      </x:c>
      <x:c r="M8" s="17" t="n">
        <x:v>2.7</x:v>
      </x:c>
      <x:c r="N8" s="17" t="n">
        <x:v>1.2</x:v>
      </x:c>
      <x:c r="O8" s="17" t="n">
        <x:v>1.65</x:v>
      </x:c>
    </x:row>
    <x:row r="9" ht="26" customHeight="1">
      <x:c r="A9" s="15" t="n">
        <x:v>46245</x:v>
      </x:c>
      <x:c r="B9" s="17" t="n">
        <x:v>2.7</x:v>
      </x:c>
      <x:c r="C9" s="17" t="n">
        <x:v>3.05</x:v>
      </x:c>
      <x:c r="D9" s="17" t="n">
        <x:v>1.65</x:v>
      </x:c>
      <x:c r="E9" s="17" t="n">
        <x:v>2</x:v>
      </x:c>
      <x:c r="F9" s="17" t="n">
        <x:v>2.35</x:v>
      </x:c>
      <x:c r="G9" s="17" t="n">
        <x:v>2.7</x:v>
      </x:c>
      <x:c r="H9" s="17" t="n">
        <x:v>3.05</x:v>
      </x:c>
      <x:c r="I9" s="17" t="n">
        <x:v>1.65</x:v>
      </x:c>
      <x:c r="J9" s="17" t="n">
        <x:v>2</x:v>
      </x:c>
      <x:c r="K9" s="17" t="n">
        <x:v>2.35</x:v>
      </x:c>
      <x:c r="L9" s="17" t="n">
        <x:v>2.7</x:v>
      </x:c>
      <x:c r="M9" s="17" t="n">
        <x:v>3.05</x:v>
      </x:c>
      <x:c r="N9" s="17" t="n">
        <x:v>1.65</x:v>
      </x:c>
      <x:c r="O9" s="17" t="n">
        <x:v>1.2</x:v>
      </x:c>
    </x:row>
    <x:row r="10" ht="26" customHeight="1">
      <x:c r="A10" s="15" t="n">
        <x:v>46276</x:v>
      </x:c>
      <x:c r="B10" s="17" t="n">
        <x:v>1.2</x:v>
      </x:c>
      <x:c r="C10" s="17" t="n">
        <x:v>1.65</x:v>
      </x:c>
      <x:c r="D10" s="17" t="n">
        <x:v>2</x:v>
      </x:c>
      <x:c r="E10" s="17" t="n">
        <x:v>2.35</x:v>
      </x:c>
      <x:c r="F10" s="17" t="n">
        <x:v>2.7</x:v>
      </x:c>
      <x:c r="G10" s="17" t="n">
        <x:v>3.05</x:v>
      </x:c>
      <x:c r="H10" s="17" t="n">
        <x:v>1.65</x:v>
      </x:c>
      <x:c r="I10" s="17" t="n">
        <x:v>2</x:v>
      </x:c>
      <x:c r="J10" s="17" t="n">
        <x:v>2.35</x:v>
      </x:c>
      <x:c r="K10" s="17" t="n">
        <x:v>2.7</x:v>
      </x:c>
      <x:c r="L10" s="17" t="n">
        <x:v>3.05</x:v>
      </x:c>
      <x:c r="M10" s="17" t="n">
        <x:v>1.65</x:v>
      </x:c>
      <x:c r="N10" s="17" t="n">
        <x:v>2</x:v>
      </x:c>
      <x:c r="O10" s="17" t="n">
        <x:v>2.35</x:v>
      </x:c>
    </x:row>
  </x:sheetData>
  <x:conditionalFormatting sqref="B2:B10">
    <x:cfRule type="expression" dxfId="154" priority="1">
      <x:formula>AND(ISNUMBER(B2),OR(AND(ISNUMBER(Limits!$C$156),B2&lt;Limits!$C$156),AND(ISNUMBER(Limits!$D$156),B2&gt;Limits!$D$156)))</x:formula>
    </x:cfRule>
  </x:conditionalFormatting>
  <x:conditionalFormatting sqref="C2:C10">
    <x:cfRule type="expression" dxfId="155" priority="2">
      <x:formula>AND(ISNUMBER(C2),OR(AND(ISNUMBER(Limits!$C$157),C2&lt;Limits!$C$157),AND(ISNUMBER(Limits!$D$157),C2&gt;Limits!$D$157)))</x:formula>
    </x:cfRule>
  </x:conditionalFormatting>
  <x:conditionalFormatting sqref="D2:D10">
    <x:cfRule type="expression" dxfId="156" priority="3">
      <x:formula>AND(ISNUMBER(D2),OR(AND(ISNUMBER(Limits!$C$158),D2&lt;Limits!$C$158),AND(ISNUMBER(Limits!$D$158),D2&gt;Limits!$D$158)))</x:formula>
    </x:cfRule>
  </x:conditionalFormatting>
  <x:conditionalFormatting sqref="E2:E10">
    <x:cfRule type="expression" dxfId="157" priority="4">
      <x:formula>AND(ISNUMBER(E2),OR(AND(ISNUMBER(Limits!$C$159),E2&lt;Limits!$C$159),AND(ISNUMBER(Limits!$D$159),E2&gt;Limits!$D$159)))</x:formula>
    </x:cfRule>
  </x:conditionalFormatting>
  <x:conditionalFormatting sqref="F2:F10">
    <x:cfRule type="expression" dxfId="158" priority="5">
      <x:formula>AND(ISNUMBER(F2),OR(AND(ISNUMBER(Limits!$C$160),F2&lt;Limits!$C$160),AND(ISNUMBER(Limits!$D$160),F2&gt;Limits!$D$160)))</x:formula>
    </x:cfRule>
  </x:conditionalFormatting>
  <x:conditionalFormatting sqref="G2:G10">
    <x:cfRule type="expression" dxfId="159" priority="6">
      <x:formula>AND(ISNUMBER(G2),OR(AND(ISNUMBER(Limits!$C$161),G2&lt;Limits!$C$161),AND(ISNUMBER(Limits!$D$161),G2&gt;Limits!$D$161)))</x:formula>
    </x:cfRule>
  </x:conditionalFormatting>
  <x:conditionalFormatting sqref="H2:H10">
    <x:cfRule type="expression" dxfId="160" priority="7">
      <x:formula>AND(ISNUMBER(H2),OR(AND(ISNUMBER(Limits!$C$162),H2&lt;Limits!$C$162),AND(ISNUMBER(Limits!$D$162),H2&gt;Limits!$D$162)))</x:formula>
    </x:cfRule>
  </x:conditionalFormatting>
  <x:conditionalFormatting sqref="I2:I10">
    <x:cfRule type="expression" dxfId="161" priority="8">
      <x:formula>AND(ISNUMBER(I2),OR(AND(ISNUMBER(Limits!$C$163),I2&lt;Limits!$C$163),AND(ISNUMBER(Limits!$D$163),I2&gt;Limits!$D$163)))</x:formula>
    </x:cfRule>
  </x:conditionalFormatting>
  <x:conditionalFormatting sqref="J2:J10">
    <x:cfRule type="expression" dxfId="162" priority="9">
      <x:formula>AND(ISNUMBER(J2),OR(AND(ISNUMBER(Limits!$C$164),J2&lt;Limits!$C$164),AND(ISNUMBER(Limits!$D$164),J2&gt;Limits!$D$164)))</x:formula>
    </x:cfRule>
  </x:conditionalFormatting>
  <x:conditionalFormatting sqref="K2:K10">
    <x:cfRule type="expression" dxfId="163" priority="10">
      <x:formula>AND(ISNUMBER(K2),OR(AND(ISNUMBER(Limits!$C$165),K2&lt;Limits!$C$165),AND(ISNUMBER(Limits!$D$165),K2&gt;Limits!$D$165)))</x:formula>
    </x:cfRule>
  </x:conditionalFormatting>
  <x:conditionalFormatting sqref="L2:L10">
    <x:cfRule type="expression" dxfId="164" priority="11">
      <x:formula>AND(ISNUMBER(L2),OR(AND(ISNUMBER(Limits!$C$166),L2&lt;Limits!$C$166),AND(ISNUMBER(Limits!$D$166),L2&gt;Limits!$D$166)))</x:formula>
    </x:cfRule>
  </x:conditionalFormatting>
  <x:conditionalFormatting sqref="M2:M10">
    <x:cfRule type="expression" dxfId="165" priority="12">
      <x:formula>AND(ISNUMBER(M2),OR(AND(ISNUMBER(Limits!$C$167),M2&lt;Limits!$C$167),AND(ISNUMBER(Limits!$D$167),M2&gt;Limits!$D$167)))</x:formula>
    </x:cfRule>
  </x:conditionalFormatting>
  <x:conditionalFormatting sqref="N2:N10">
    <x:cfRule type="expression" dxfId="166" priority="13">
      <x:formula>AND(ISNUMBER(N2),OR(AND(ISNUMBER(Limits!$C$168),N2&lt;Limits!$C$168),AND(ISNUMBER(Limits!$D$168),N2&gt;Limits!$D$168)))</x:formula>
    </x:cfRule>
  </x:conditionalFormatting>
  <x:conditionalFormatting sqref="O2:O10">
    <x:cfRule type="expression" dxfId="167" priority="14">
      <x:formula>AND(ISNUMBER(O2),OR(AND(ISNUMBER(Limits!$C$169),O2&lt;Limits!$C$169),AND(ISNUMBER(Limits!$D$169),O2&gt;Limits!$D$169)))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853af7b0dc41f0"/>
  </x:tableParts>
</x:worksheet>
</file>

<file path=xl/worksheets/sheet18.xml><?xml version="1.0" encoding="utf-8"?>
<x:worksheet xmlns:x="http://schemas.openxmlformats.org/spreadsheetml/2006/main">
  <x:sheetPr>
    <x:tabColor rgb="FFC7712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6" customHeight="1">
      <x:c r="A1" s="20" t="str">
        <x:v>Date</x:v>
      </x:c>
      <x:c r="B1" s="20" t="str">
        <x:v>1st A</x:v>
      </x:c>
      <x:c r="C1" s="20" t="str">
        <x:v>1st B</x:v>
      </x:c>
      <x:c r="D1" s="20" t="str">
        <x:v>1st C</x:v>
      </x:c>
      <x:c r="E1" s="20" t="str">
        <x:v>2nd</x:v>
      </x:c>
      <x:c r="F1" s="20" t="str">
        <x:v>3rd</x:v>
      </x:c>
      <x:c r="G1" s="20" t="str">
        <x:v>4th</x:v>
      </x:c>
      <x:c r="H1" s="20" t="str">
        <x:v>5th</x:v>
      </x:c>
      <x:c r="I1" s="20" t="str">
        <x:v>6th</x:v>
      </x:c>
      <x:c r="J1" s="20" t="str">
        <x:v>7th</x:v>
      </x:c>
      <x:c r="K1" s="20" t="str">
        <x:v>Rev A</x:v>
      </x:c>
      <x:c r="L1" s="20" t="str">
        <x:v>Rev B</x:v>
      </x:c>
      <x:c r="M1" s="20" t="str">
        <x:v>Rev C</x:v>
      </x:c>
    </x:row>
    <x:row r="2" ht="26" customHeight="1">
      <x:c r="A2" s="15" t="n">
        <x:v>46034</x:v>
      </x:c>
      <x:c r="B2" s="17" t="n">
        <x:v>2.35</x:v>
      </x:c>
      <x:c r="C2" s="17" t="n">
        <x:v>2.7</x:v>
      </x:c>
      <x:c r="D2" s="17" t="n">
        <x:v>3.05</x:v>
      </x:c>
      <x:c r="E2" s="17" t="n">
        <x:v>1.65</x:v>
      </x:c>
      <x:c r="F2" s="17" t="n">
        <x:v>2</x:v>
      </x:c>
      <x:c r="G2" s="17" t="n">
        <x:v>2.35</x:v>
      </x:c>
      <x:c r="H2" s="17" t="n">
        <x:v>2.7</x:v>
      </x:c>
      <x:c r="I2" s="17" t="n">
        <x:v>1.2</x:v>
      </x:c>
      <x:c r="J2" s="17" t="n">
        <x:v>1.65</x:v>
      </x:c>
      <x:c r="K2" s="17" t="n">
        <x:v>2</x:v>
      </x:c>
      <x:c r="L2" s="17" t="n">
        <x:v>2.35</x:v>
      </x:c>
      <x:c r="M2" s="17" t="n">
        <x:v>2.7</x:v>
      </x:c>
    </x:row>
    <x:row r="3" ht="26" customHeight="1">
      <x:c r="A3" s="15" t="n">
        <x:v>46065</x:v>
      </x:c>
      <x:c r="B3" s="17" t="n">
        <x:v>2.7</x:v>
      </x:c>
      <x:c r="C3" s="17" t="n">
        <x:v>3.05</x:v>
      </x:c>
      <x:c r="D3" s="17" t="n">
        <x:v>1.65</x:v>
      </x:c>
      <x:c r="E3" s="17" t="n">
        <x:v>2</x:v>
      </x:c>
      <x:c r="F3" s="17" t="n">
        <x:v>2.35</x:v>
      </x:c>
      <x:c r="G3" s="17" t="n">
        <x:v>2.7</x:v>
      </x:c>
      <x:c r="H3" s="17" t="n">
        <x:v>3.05</x:v>
      </x:c>
      <x:c r="I3" s="17" t="n">
        <x:v>1.65</x:v>
      </x:c>
      <x:c r="J3" s="17" t="n">
        <x:v>1.2</x:v>
      </x:c>
      <x:c r="K3" s="17" t="n">
        <x:v>2.35</x:v>
      </x:c>
      <x:c r="L3" s="17" t="n">
        <x:v>2.7</x:v>
      </x:c>
      <x:c r="M3" s="17" t="n">
        <x:v>3.05</x:v>
      </x:c>
    </x:row>
    <x:row r="4" ht="26" customHeight="1">
      <x:c r="A4" s="15" t="n">
        <x:v>46093</x:v>
      </x:c>
      <x:c r="B4" s="17" t="n">
        <x:v>3.05</x:v>
      </x:c>
      <x:c r="C4" s="17" t="n">
        <x:v>1.65</x:v>
      </x:c>
      <x:c r="D4" s="17" t="n">
        <x:v>2</x:v>
      </x:c>
      <x:c r="E4" s="17" t="n">
        <x:v>2.35</x:v>
      </x:c>
      <x:c r="F4" s="17" t="n">
        <x:v>2.7</x:v>
      </x:c>
      <x:c r="G4" s="17" t="n">
        <x:v>3.05</x:v>
      </x:c>
      <x:c r="H4" s="17" t="n">
        <x:v>1.65</x:v>
      </x:c>
      <x:c r="I4" s="17" t="n">
        <x:v>2</x:v>
      </x:c>
      <x:c r="J4" s="17" t="n">
        <x:v>2.35</x:v>
      </x:c>
      <x:c r="K4" s="17" t="n">
        <x:v>1.2</x:v>
      </x:c>
      <x:c r="L4" s="17" t="n">
        <x:v>3.05</x:v>
      </x:c>
      <x:c r="M4" s="17" t="n">
        <x:v>1.65</x:v>
      </x:c>
    </x:row>
    <x:row r="5" ht="26" customHeight="1">
      <x:c r="A5" s="15" t="n">
        <x:v>46124</x:v>
      </x:c>
      <x:c r="B5" s="17" t="n">
        <x:v>1.65</x:v>
      </x:c>
      <x:c r="C5" s="17" t="n">
        <x:v>2</x:v>
      </x:c>
      <x:c r="D5" s="17" t="n">
        <x:v>2.35</x:v>
      </x:c>
      <x:c r="E5" s="17" t="n">
        <x:v>2.7</x:v>
      </x:c>
      <x:c r="F5" s="17" t="n">
        <x:v>3.05</x:v>
      </x:c>
      <x:c r="G5" s="17" t="n">
        <x:v>1.65</x:v>
      </x:c>
      <x:c r="H5" s="17" t="n">
        <x:v>2</x:v>
      </x:c>
      <x:c r="I5" s="17" t="n">
        <x:v>2.35</x:v>
      </x:c>
      <x:c r="J5" s="17" t="n">
        <x:v>2.7</x:v>
      </x:c>
      <x:c r="K5" s="17" t="n">
        <x:v>3.05</x:v>
      </x:c>
      <x:c r="L5" s="17" t="n">
        <x:v>1.2</x:v>
      </x:c>
      <x:c r="M5" s="17" t="n">
        <x:v>2</x:v>
      </x:c>
    </x:row>
    <x:row r="6" ht="26" customHeight="1">
      <x:c r="A6" s="15" t="n">
        <x:v>46154</x:v>
      </x:c>
      <x:c r="B6" s="17" t="n">
        <x:v>2</x:v>
      </x:c>
      <x:c r="C6" s="17" t="n">
        <x:v>2.35</x:v>
      </x:c>
      <x:c r="D6" s="17" t="n">
        <x:v>2.7</x:v>
      </x:c>
      <x:c r="E6" s="17" t="n">
        <x:v>3.05</x:v>
      </x:c>
      <x:c r="F6" s="17" t="n">
        <x:v>1.65</x:v>
      </x:c>
      <x:c r="G6" s="17" t="n">
        <x:v>2</x:v>
      </x:c>
      <x:c r="H6" s="17" t="n">
        <x:v>2.35</x:v>
      </x:c>
      <x:c r="I6" s="17" t="n">
        <x:v>2.7</x:v>
      </x:c>
      <x:c r="J6" s="17" t="n">
        <x:v>3.05</x:v>
      </x:c>
      <x:c r="K6" s="17" t="n">
        <x:v>1.65</x:v>
      </x:c>
      <x:c r="L6" s="17" t="n">
        <x:v>2</x:v>
      </x:c>
      <x:c r="M6" s="17" t="n">
        <x:v>1.2</x:v>
      </x:c>
    </x:row>
    <x:row r="7" ht="26" customHeight="1">
      <x:c r="A7" s="15" t="n">
        <x:v>46185</x:v>
      </x:c>
      <x:c r="B7" s="17" t="n">
        <x:v>1.2</x:v>
      </x:c>
      <x:c r="C7" s="17" t="n">
        <x:v>2.7</x:v>
      </x:c>
      <x:c r="D7" s="17" t="n">
        <x:v>3.05</x:v>
      </x:c>
      <x:c r="E7" s="17" t="n">
        <x:v>1.65</x:v>
      </x:c>
      <x:c r="F7" s="17" t="n">
        <x:v>2</x:v>
      </x:c>
      <x:c r="G7" s="17" t="n">
        <x:v>2.35</x:v>
      </x:c>
      <x:c r="H7" s="17" t="n">
        <x:v>2.7</x:v>
      </x:c>
      <x:c r="I7" s="17" t="n">
        <x:v>3.05</x:v>
      </x:c>
      <x:c r="J7" s="17" t="n">
        <x:v>1.65</x:v>
      </x:c>
      <x:c r="K7" s="17" t="n">
        <x:v>2</x:v>
      </x:c>
      <x:c r="L7" s="17" t="n">
        <x:v>2.35</x:v>
      </x:c>
      <x:c r="M7" s="17" t="n">
        <x:v>2.7</x:v>
      </x:c>
    </x:row>
    <x:row r="8" ht="26" customHeight="1">
      <x:c r="A8" s="15" t="n">
        <x:v>46215</x:v>
      </x:c>
      <x:c r="B8" s="17" t="n">
        <x:v>2.7</x:v>
      </x:c>
      <x:c r="C8" s="17" t="n">
        <x:v>1.2</x:v>
      </x:c>
      <x:c r="D8" s="17" t="n">
        <x:v>1.65</x:v>
      </x:c>
      <x:c r="E8" s="17" t="n">
        <x:v>2</x:v>
      </x:c>
      <x:c r="F8" s="17" t="n">
        <x:v>2.35</x:v>
      </x:c>
      <x:c r="G8" s="17" t="n">
        <x:v>2.7</x:v>
      </x:c>
      <x:c r="H8" s="17" t="n">
        <x:v>3.05</x:v>
      </x:c>
      <x:c r="I8" s="17" t="n">
        <x:v>1.65</x:v>
      </x:c>
      <x:c r="J8" s="17" t="n">
        <x:v>2</x:v>
      </x:c>
      <x:c r="K8" s="17" t="n">
        <x:v>2.35</x:v>
      </x:c>
      <x:c r="L8" s="17" t="n">
        <x:v>2.7</x:v>
      </x:c>
      <x:c r="M8" s="17" t="n">
        <x:v>3.05</x:v>
      </x:c>
    </x:row>
    <x:row r="9" ht="26" customHeight="1">
      <x:c r="A9" s="15" t="n">
        <x:v>46246</x:v>
      </x:c>
      <x:c r="B9" s="17" t="n">
        <x:v>3.05</x:v>
      </x:c>
      <x:c r="C9" s="17" t="n">
        <x:v>1.65</x:v>
      </x:c>
      <x:c r="D9" s="17" t="n">
        <x:v>1.2</x:v>
      </x:c>
      <x:c r="E9" s="17" t="n">
        <x:v>2.35</x:v>
      </x:c>
      <x:c r="F9" s="17" t="n">
        <x:v>2.7</x:v>
      </x:c>
      <x:c r="G9" s="17" t="n">
        <x:v>3.05</x:v>
      </x:c>
      <x:c r="H9" s="17" t="n">
        <x:v>1.65</x:v>
      </x:c>
      <x:c r="I9" s="17" t="n">
        <x:v>2</x:v>
      </x:c>
      <x:c r="J9" s="17" t="n">
        <x:v>2.35</x:v>
      </x:c>
      <x:c r="K9" s="17" t="n">
        <x:v>2.7</x:v>
      </x:c>
      <x:c r="L9" s="17" t="n">
        <x:v>3.05</x:v>
      </x:c>
      <x:c r="M9" s="17" t="n">
        <x:v>1.65</x:v>
      </x:c>
    </x:row>
    <x:row r="10" ht="26" customHeight="1">
      <x:c r="A10" s="15" t="n">
        <x:v>46277</x:v>
      </x:c>
      <x:c r="B10" s="17" t="n">
        <x:v>1.65</x:v>
      </x:c>
      <x:c r="C10" s="17" t="n">
        <x:v>2</x:v>
      </x:c>
      <x:c r="D10" s="17" t="n">
        <x:v>2.35</x:v>
      </x:c>
      <x:c r="E10" s="17" t="n">
        <x:v>1.2</x:v>
      </x:c>
      <x:c r="F10" s="17" t="n">
        <x:v>3.05</x:v>
      </x:c>
      <x:c r="G10" s="17" t="n">
        <x:v>1.65</x:v>
      </x:c>
      <x:c r="H10" s="17" t="n">
        <x:v>2</x:v>
      </x:c>
      <x:c r="I10" s="17" t="n">
        <x:v>2.35</x:v>
      </x:c>
      <x:c r="J10" s="17" t="n">
        <x:v>2.7</x:v>
      </x:c>
      <x:c r="K10" s="17" t="n">
        <x:v>3.05</x:v>
      </x:c>
      <x:c r="L10" s="17" t="n">
        <x:v>1.65</x:v>
      </x:c>
      <x:c r="M10" s="17" t="n">
        <x:v>2</x:v>
      </x:c>
    </x:row>
  </x:sheetData>
  <x:conditionalFormatting sqref="B2:B10">
    <x:cfRule type="expression" dxfId="168" priority="1">
      <x:formula>AND(ISNUMBER(B2),OR(AND(ISNUMBER(Limits!$C$170),B2&lt;Limits!$C$170),AND(ISNUMBER(Limits!$D$170),B2&gt;Limits!$D$170)))</x:formula>
    </x:cfRule>
  </x:conditionalFormatting>
  <x:conditionalFormatting sqref="C2:C10">
    <x:cfRule type="expression" dxfId="169" priority="2">
      <x:formula>AND(ISNUMBER(C2),OR(AND(ISNUMBER(Limits!$C$171),C2&lt;Limits!$C$171),AND(ISNUMBER(Limits!$D$171),C2&gt;Limits!$D$171)))</x:formula>
    </x:cfRule>
  </x:conditionalFormatting>
  <x:conditionalFormatting sqref="D2:D10">
    <x:cfRule type="expression" dxfId="170" priority="3">
      <x:formula>AND(ISNUMBER(D2),OR(AND(ISNUMBER(Limits!$C$172),D2&lt;Limits!$C$172),AND(ISNUMBER(Limits!$D$172),D2&gt;Limits!$D$172)))</x:formula>
    </x:cfRule>
  </x:conditionalFormatting>
  <x:conditionalFormatting sqref="E2:E10">
    <x:cfRule type="expression" dxfId="171" priority="4">
      <x:formula>AND(ISNUMBER(E2),OR(AND(ISNUMBER(Limits!$C$173),E2&lt;Limits!$C$173),AND(ISNUMBER(Limits!$D$173),E2&gt;Limits!$D$173)))</x:formula>
    </x:cfRule>
  </x:conditionalFormatting>
  <x:conditionalFormatting sqref="F2:F10">
    <x:cfRule type="expression" dxfId="172" priority="5">
      <x:formula>AND(ISNUMBER(F2),OR(AND(ISNUMBER(Limits!$C$174),F2&lt;Limits!$C$174),AND(ISNUMBER(Limits!$D$174),F2&gt;Limits!$D$174)))</x:formula>
    </x:cfRule>
  </x:conditionalFormatting>
  <x:conditionalFormatting sqref="G2:G10">
    <x:cfRule type="expression" dxfId="173" priority="6">
      <x:formula>AND(ISNUMBER(G2),OR(AND(ISNUMBER(Limits!$C$175),G2&lt;Limits!$C$175),AND(ISNUMBER(Limits!$D$175),G2&gt;Limits!$D$175)))</x:formula>
    </x:cfRule>
  </x:conditionalFormatting>
  <x:conditionalFormatting sqref="H2:H10">
    <x:cfRule type="expression" dxfId="174" priority="7">
      <x:formula>AND(ISNUMBER(H2),OR(AND(ISNUMBER(Limits!$C$176),H2&lt;Limits!$C$176),AND(ISNUMBER(Limits!$D$176),H2&gt;Limits!$D$176)))</x:formula>
    </x:cfRule>
  </x:conditionalFormatting>
  <x:conditionalFormatting sqref="I2:I10">
    <x:cfRule type="expression" dxfId="175" priority="8">
      <x:formula>AND(ISNUMBER(I2),OR(AND(ISNUMBER(Limits!$C$177),I2&lt;Limits!$C$177),AND(ISNUMBER(Limits!$D$177),I2&gt;Limits!$D$177)))</x:formula>
    </x:cfRule>
  </x:conditionalFormatting>
  <x:conditionalFormatting sqref="J2:J10">
    <x:cfRule type="expression" dxfId="176" priority="9">
      <x:formula>AND(ISNUMBER(J2),OR(AND(ISNUMBER(Limits!$C$178),J2&lt;Limits!$C$178),AND(ISNUMBER(Limits!$D$178),J2&gt;Limits!$D$178)))</x:formula>
    </x:cfRule>
  </x:conditionalFormatting>
  <x:conditionalFormatting sqref="K2:K10">
    <x:cfRule type="expression" dxfId="177" priority="10">
      <x:formula>AND(ISNUMBER(K2),OR(AND(ISNUMBER(Limits!$C$179),K2&lt;Limits!$C$179),AND(ISNUMBER(Limits!$D$179),K2&gt;Limits!$D$179)))</x:formula>
    </x:cfRule>
  </x:conditionalFormatting>
  <x:conditionalFormatting sqref="L2:L10">
    <x:cfRule type="expression" dxfId="178" priority="11">
      <x:formula>AND(ISNUMBER(L2),OR(AND(ISNUMBER(Limits!$C$180),L2&lt;Limits!$C$180),AND(ISNUMBER(Limits!$D$180),L2&gt;Limits!$D$180)))</x:formula>
    </x:cfRule>
  </x:conditionalFormatting>
  <x:conditionalFormatting sqref="M2:M10">
    <x:cfRule type="expression" dxfId="179" priority="12">
      <x:formula>AND(ISNUMBER(M2),OR(AND(ISNUMBER(Limits!$C$181),M2&lt;Limits!$C$181),AND(ISNUMBER(Limits!$D$181),M2&gt;Limits!$D$181)))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eb78bc8cc64032"/>
  </x:tableParts>
</x:worksheet>
</file>

<file path=xl/worksheets/sheet19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 ht="85" customHeight="1">
      <x:c r="A1" s="14" t="str">
        <x:v>Date</x:v>
      </x:c>
      <x:c r="B1" s="14" t="str">
        <x:v>Bark on chip · AE · Bark (%)</x:v>
      </x:c>
      <x:c r="C1" s="14" t="str">
        <x:v>Bark on chip · Lyocell · Bark (%)</x:v>
      </x:c>
    </x:row>
    <x:row r="2" ht="26" customHeight="1">
      <x:c r="A2" s="15" t="n">
        <x:v>46023</x:v>
      </x:c>
      <x:c r="B2" s="16" t="n">
        <x:v>38</x:v>
      </x:c>
      <x:c r="C2" s="16" t="n">
        <x:v>40</x:v>
      </x:c>
    </x:row>
    <x:row r="3" ht="26" customHeight="1">
      <x:c r="A3" s="15" t="n">
        <x:v>46054</x:v>
      </x:c>
      <x:c r="B3" s="16" t="n">
        <x:v>36</x:v>
      </x:c>
      <x:c r="C3" s="16" t="n">
        <x:v>38</x:v>
      </x:c>
    </x:row>
    <x:row r="4" ht="26" customHeight="1">
      <x:c r="A4" s="15" t="n">
        <x:v>46082</x:v>
      </x:c>
      <x:c r="B4" s="16" t="n">
        <x:v>34</x:v>
      </x:c>
      <x:c r="C4" s="16" t="n">
        <x:v>36</x:v>
      </x:c>
    </x:row>
    <x:row r="5" ht="26" customHeight="1">
      <x:c r="A5" s="15" t="n">
        <x:v>46113</x:v>
      </x:c>
      <x:c r="B5" s="16" t="n">
        <x:v>32</x:v>
      </x:c>
      <x:c r="C5" s="16" t="n">
        <x:v>34</x:v>
      </x:c>
    </x:row>
    <x:row r="6" ht="26" customHeight="1">
      <x:c r="A6" s="15" t="n">
        <x:v>46143</x:v>
      </x:c>
      <x:c r="B6" s="16" t="n">
        <x:v>30</x:v>
      </x:c>
      <x:c r="C6" s="16" t="n">
        <x:v>32</x:v>
      </x:c>
    </x:row>
    <x:row r="7" ht="26" customHeight="1">
      <x:c r="A7" s="15" t="n">
        <x:v>46174</x:v>
      </x:c>
      <x:c r="B7" s="16" t="n">
        <x:v>28</x:v>
      </x:c>
      <x:c r="C7" s="16" t="n">
        <x:v>30</x:v>
      </x:c>
    </x:row>
    <x:row r="8" ht="26" customHeight="1">
      <x:c r="A8" s="15" t="n">
        <x:v>46204</x:v>
      </x:c>
      <x:c r="B8" s="16" t="n">
        <x:v>26</x:v>
      </x:c>
      <x:c r="C8" s="16" t="n">
        <x:v>28</x:v>
      </x:c>
    </x:row>
    <x:row r="9" ht="26" customHeight="1">
      <x:c r="A9" s="15" t="n">
        <x:v>46235</x:v>
      </x:c>
      <x:c r="B9" s="16" t="n">
        <x:v>24</x:v>
      </x:c>
      <x:c r="C9" s="16" t="n">
        <x:v>26</x:v>
      </x:c>
    </x:row>
  </x:sheetData>
  <x:conditionalFormatting sqref="B2:B9">
    <x:cfRule type="expression" dxfId="180" priority="1">
      <x:formula>AND(ISNUMBER(B2),OR(AND(ISNUMBER(Limits!$C$182),B2&lt;Limits!$C$182),AND(ISNUMBER(Limits!$D$182),B2&gt;Limits!$D$182)))</x:formula>
    </x:cfRule>
  </x:conditionalFormatting>
  <x:conditionalFormatting sqref="C2:C9">
    <x:cfRule type="expression" dxfId="181" priority="2">
      <x:formula>AND(ISNUMBER(C2),OR(AND(ISNUMBER(Limits!$C$183),C2&lt;Limits!$C$183),AND(ISNUMBER(Limits!$D$183),C2&gt;Limits!$D$183)))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4e5e3fd79a4a3e"/>
  </x:tableParts>
</x:worksheet>
</file>

<file path=xl/worksheets/sheet20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57" hidden="0" customWidth="1"/>
    <x:col min="3" max="3" width="25" hidden="0" customWidth="1"/>
    <x:col min="4" max="4" width="15" hidden="0" customWidth="1"/>
    <x:col min="5" max="5" width="18" hidden="0" customWidth="1"/>
    <x:col min="6" max="6" width="63" hidden="0" customWidth="1"/>
  </x:cols>
  <x:sheetData>
    <x:row r="1" ht="30" customHeight="1">
      <x:c r="A1" s="14" t="str">
        <x:v>Area</x:v>
      </x:c>
      <x:c r="B1" s="14" t="str">
        <x:v>Action</x:v>
      </x:c>
      <x:c r="C1" s="14" t="str">
        <x:v>PIC</x:v>
      </x:c>
      <x:c r="D1" s="14" t="str">
        <x:v>Due</x:v>
      </x:c>
      <x:c r="E1" s="14" t="str">
        <x:v>Status</x:v>
      </x:c>
      <x:c r="F1" s="14" t="str">
        <x:v>Update</x:v>
      </x:c>
    </x:row>
    <x:row r="2" ht="57" customHeight="1">
      <x:c r="A2" s="2" t="str">
        <x:v>Woodyard</x:v>
      </x:c>
      <x:c r="B2" s="9" t="str">
        <x:v>Restore washing pressure and verify nozzle coverage</x:v>
      </x:c>
      <x:c r="C2" s="9" t="str">
        <x:v>Woodyard team</x:v>
      </x:c>
      <x:c r="D2" s="15" t="n">
        <x:v>46286</x:v>
      </x:c>
      <x:c r="E2" s="2" t="str">
        <x:v>Pending</x:v>
      </x:c>
      <x:c r="F2" s="9" t="str">
        <x:v>Pump inspection completed; pressure verification pending.</x:v>
      </x:c>
    </x:row>
    <x:row r="3" ht="57" customHeight="1">
      <x:c r="A3" s="2" t="str">
        <x:v>Woodyard</x:v>
      </x:c>
      <x:c r="B3" s="9" t="str">
        <x:v>Complete individual washing-pump configuration</x:v>
      </x:c>
      <x:c r="C3" s="9" t="str">
        <x:v>Maintenance team</x:v>
      </x:c>
      <x:c r="D3" s="15" t="n">
        <x:v>46298</x:v>
      </x:c>
      <x:c r="E3" s="2" t="str">
        <x:v>Pending</x:v>
      </x:c>
      <x:c r="F3" s="9" t="str">
        <x:v>Confirm installation window.</x:v>
      </x:c>
    </x:row>
    <x:row r="4" ht="57" customHeight="1">
      <x:c r="A4" s="2" t="str">
        <x:v>Fiberline</x:v>
      </x:c>
      <x:c r="B4" s="9" t="str">
        <x:v>Resolve CTS bypass and inspect the affected screen</x:v>
      </x:c>
      <x:c r="C4" s="9" t="str">
        <x:v>Fiberline team</x:v>
      </x:c>
      <x:c r="D4" s="15" t="n">
        <x:v>46287</x:v>
      </x:c>
      <x:c r="E4" s="2" t="str">
        <x:v>Pending</x:v>
      </x:c>
      <x:c r="F4" s="9" t="str">
        <x:v>Spare part delivery to be confirmed.</x:v>
      </x:c>
    </x:row>
    <x:row r="5" ht="57" customHeight="1">
      <x:c r="A5" s="2" t="str">
        <x:v>Pulp Dryer</x:v>
      </x:c>
      <x:c r="B5" s="9" t="str">
        <x:v>Inspect primary cleaner canisters</x:v>
      </x:c>
      <x:c r="C5" s="9" t="str">
        <x:v>Pulp dryer team</x:v>
      </x:c>
      <x:c r="D5" s="15" t="n">
        <x:v>46293</x:v>
      </x:c>
      <x:c r="E5" s="2" t="str">
        <x:v>Pending</x:v>
      </x:c>
      <x:c r="F5" s="9" t="str">
        <x:v>Inspection sequence agreed.</x:v>
      </x:c>
    </x:row>
    <x:row r="6" ht="57" customHeight="1">
      <x:c r="A6" s="2" t="str">
        <x:v>Pulp Dryer</x:v>
      </x:c>
      <x:c r="B6" s="9" t="str">
        <x:v>Verify reject-flow measurement and control valve</x:v>
      </x:c>
      <x:c r="C6" s="9" t="str">
        <x:v>Instrument team</x:v>
      </x:c>
      <x:c r="D6" s="15" t="n">
        <x:v>46285</x:v>
      </x:c>
      <x:c r="E6" s="2" t="str">
        <x:v>Done</x:v>
      </x:c>
      <x:c r="F6" s="9" t="str">
        <x:v>Functional check completed.</x:v>
      </x:c>
    </x:row>
    <x:row r="7" ht="57" customHeight="1">
      <x:c r="A7" s="2" t="str">
        <x:v>Woodyard</x:v>
      </x:c>
      <x:c r="B7" s="9" t="str">
        <x:v>Check bark carryover after debarking</x:v>
      </x:c>
      <x:c r="C7" s="9" t="str">
        <x:v>Quality team</x:v>
      </x:c>
      <x:c r="D7" s="15"/>
      <x:c r="E7" s="2" t="str">
        <x:v>Pending</x:v>
      </x:c>
      <x:c r="F7" s="9" t="str">
        <x:v>Continue weekly sampling.</x:v>
      </x:c>
    </x:row>
  </x:sheetData>
  <x:conditionalFormatting sqref="D2:D7">
    <x:cfRule type="expression" dxfId="182" priority="1">
      <x:formula>AND(ISNUMBER(D2),D2&lt;Setup!$B$5,E2="Pending")</x:formula>
    </x:cfRule>
  </x:conditionalFormatting>
  <x:dataValidations count="2">
    <x:dataValidation type="list" sqref="A2:A7">
      <x:formula1>"Woodyard,Fiberline,Pulp Dryer"</x:formula1>
    </x:dataValidation>
    <x:dataValidation type="list" sqref="E2:E7">
      <x:formula1>"Done,Cancelled,Pending"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729d060ed40b5"/>
  </x:tableParts>
</x:worksheet>
</file>

<file path=xl/worksheets/sheet21.xml><?xml version="1.0" encoding="utf-8"?>
<x:worksheet xmlns:x="http://schemas.openxmlformats.org/spreadsheetml/2006/main">
  <x:sheetPr>
    <x:tabColor rgb="FF10386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70" hidden="0" customWidth="1"/>
    <x:col min="3" max="3" width="13" hidden="0" customWidth="1"/>
    <x:col min="4" max="4" width="17" hidden="0" customWidth="1"/>
    <x:col min="5" max="5" width="11" hidden="0" customWidth="1"/>
    <x:col min="6" max="6" width="20" hidden="0" customWidth="1"/>
    <x:col min="7" max="7" width="25" hidden="0" customWidth="1"/>
  </x:cols>
  <x:sheetData>
    <x:row r="1" ht="85" customHeight="1">
      <x:c r="A1" s="14" t="str">
        <x:v>Sheet</x:v>
      </x:c>
      <x:c r="B1" s="14" t="str">
        <x:v>Parameter</x:v>
      </x:c>
      <x:c r="C1" s="14" t="str">
        <x:v>Lower</x:v>
      </x:c>
      <x:c r="D1" s="14" t="str">
        <x:v>Upper / target</x:v>
      </x:c>
      <x:c r="E1" s="14" t="str">
        <x:v>Rule</x:v>
      </x:c>
      <x:c r="F1" s="14" t="str">
        <x:v>Secondary target</x:v>
      </x:c>
      <x:c r="G1" s="14" t="str">
        <x:v>Secondary target name</x:v>
      </x:c>
    </x:row>
    <x:row r="2" ht="36" customHeight="1">
      <x:c r="A2" s="2" t="str">
        <x:v>Silica</x:v>
      </x:c>
      <x:c r="B2" s="9" t="str">
        <x:v>Silica after chipper · AE · Chp1 (ppm)</x:v>
      </x:c>
      <x:c r="C2" s="17"/>
      <x:c r="D2" s="17" t="n">
        <x:v>160</x:v>
      </x:c>
      <x:c r="E2" s="2" t="str">
        <x:v>&lt;</x:v>
      </x:c>
      <x:c r="F2" s="17"/>
      <x:c r="G2" s="2" t="str"/>
    </x:row>
    <x:row r="3" ht="36" customHeight="1">
      <x:c r="A3" s="2" t="str">
        <x:v>Silica</x:v>
      </x:c>
      <x:c r="B3" s="9" t="str">
        <x:v>Silica Chip to FL1 · AE (ppm)</x:v>
      </x:c>
      <x:c r="C3" s="17"/>
      <x:c r="D3" s="17" t="n">
        <x:v>160</x:v>
      </x:c>
      <x:c r="E3" s="2" t="str">
        <x:v>&lt;=</x:v>
      </x:c>
      <x:c r="F3" s="17"/>
      <x:c r="G3" s="2" t="str"/>
    </x:row>
    <x:row r="4" ht="36" customHeight="1">
      <x:c r="A4" s="2" t="str">
        <x:v>Silica</x:v>
      </x:c>
      <x:c r="B4" s="9" t="str">
        <x:v>Silica Chip to FL2 · AE (ppm)</x:v>
      </x:c>
      <x:c r="C4" s="17"/>
      <x:c r="D4" s="17" t="n">
        <x:v>160</x:v>
      </x:c>
      <x:c r="E4" s="2" t="str">
        <x:v>&lt;=</x:v>
      </x:c>
      <x:c r="F4" s="17"/>
      <x:c r="G4" s="2" t="str"/>
    </x:row>
    <x:row r="5" ht="36" customHeight="1">
      <x:c r="A5" s="2" t="str">
        <x:v>Silica</x:v>
      </x:c>
      <x:c r="B5" s="9" t="str">
        <x:v>Silica Chip to FL2 · Lyocell (ppm)</x:v>
      </x:c>
      <x:c r="C5" s="17"/>
      <x:c r="D5" s="17" t="n">
        <x:v>160</x:v>
      </x:c>
      <x:c r="E5" s="2" t="str">
        <x:v>&lt;=</x:v>
      </x:c>
      <x:c r="F5" s="17"/>
      <x:c r="G5" s="2" t="str"/>
    </x:row>
    <x:row r="6" ht="36" customHeight="1">
      <x:c r="A6" s="2" t="str">
        <x:v>Silica</x:v>
      </x:c>
      <x:c r="B6" s="9" t="str">
        <x:v>Silica unbleached · FL1 (ppm)</x:v>
      </x:c>
      <x:c r="C6" s="17"/>
      <x:c r="D6" s="17" t="n">
        <x:v>250</x:v>
      </x:c>
      <x:c r="E6" s="2" t="str">
        <x:v>&lt;=</x:v>
      </x:c>
      <x:c r="F6" s="17"/>
      <x:c r="G6" s="2" t="str"/>
    </x:row>
    <x:row r="7" ht="36" customHeight="1">
      <x:c r="A7" s="2" t="str">
        <x:v>Silica</x:v>
      </x:c>
      <x:c r="B7" s="9" t="str">
        <x:v>Silica unbleached · FL2 (ppm)</x:v>
      </x:c>
      <x:c r="C7" s="17"/>
      <x:c r="D7" s="17" t="n">
        <x:v>250</x:v>
      </x:c>
      <x:c r="E7" s="2" t="str">
        <x:v>&lt;=</x:v>
      </x:c>
      <x:c r="F7" s="17"/>
      <x:c r="G7" s="2" t="str"/>
    </x:row>
    <x:row r="8" ht="36" customHeight="1">
      <x:c r="A8" s="2" t="str">
        <x:v>Silica</x:v>
      </x:c>
      <x:c r="B8" s="9" t="str">
        <x:v>Silica unbleached · FL2 Lyocell (ppm)</x:v>
      </x:c>
      <x:c r="C8" s="17"/>
      <x:c r="D8" s="17" t="n">
        <x:v>250</x:v>
      </x:c>
      <x:c r="E8" s="2" t="str">
        <x:v>&lt;=</x:v>
      </x:c>
      <x:c r="F8" s="17"/>
      <x:c r="G8" s="2" t="str"/>
    </x:row>
    <x:row r="9" ht="36" customHeight="1">
      <x:c r="A9" s="2" t="str">
        <x:v>Silica</x:v>
      </x:c>
      <x:c r="B9" s="9" t="str">
        <x:v>Silica pulp dryer · FL1 · AE (ppm)</x:v>
      </x:c>
      <x:c r="C9" s="17"/>
      <x:c r="D9" s="17" t="n">
        <x:v>55</x:v>
      </x:c>
      <x:c r="E9" s="2" t="str">
        <x:v>&lt;=</x:v>
      </x:c>
      <x:c r="F9" s="17" t="n">
        <x:v>80</x:v>
      </x:c>
      <x:c r="G9" s="2" t="str">
        <x:v>Sateri</x:v>
      </x:c>
    </x:row>
    <x:row r="10" ht="36" customHeight="1">
      <x:c r="A10" s="2" t="str">
        <x:v>Silica</x:v>
      </x:c>
      <x:c r="B10" s="9" t="str">
        <x:v>Silica pulp dryer · FL2 · AE (ppm)</x:v>
      </x:c>
      <x:c r="C10" s="17"/>
      <x:c r="D10" s="17" t="n">
        <x:v>55</x:v>
      </x:c>
      <x:c r="E10" s="2" t="str">
        <x:v>&lt;=</x:v>
      </x:c>
      <x:c r="F10" s="17" t="n">
        <x:v>80</x:v>
      </x:c>
      <x:c r="G10" s="2" t="str">
        <x:v>Sateri</x:v>
      </x:c>
    </x:row>
    <x:row r="11" ht="36" customHeight="1">
      <x:c r="A11" s="2" t="str">
        <x:v>Silica</x:v>
      </x:c>
      <x:c r="B11" s="9" t="str">
        <x:v>Silica pulp dryer · FL2 · Lyocell (ppm)</x:v>
      </x:c>
      <x:c r="C11" s="17"/>
      <x:c r="D11" s="17" t="n">
        <x:v>40</x:v>
      </x:c>
      <x:c r="E11" s="2" t="str">
        <x:v>&lt;=</x:v>
      </x:c>
      <x:c r="F11" s="17"/>
      <x:c r="G11" s="2" t="str"/>
    </x:row>
    <x:row r="12" ht="36" customHeight="1">
      <x:c r="A12" s="2" t="str">
        <x:v>Silica</x:v>
      </x:c>
      <x:c r="B12" s="9" t="str">
        <x:v>Silica after chipper · AE · Chp2 (ppm)</x:v>
      </x:c>
      <x:c r="C12" s="17"/>
      <x:c r="D12" s="17" t="n">
        <x:v>160</x:v>
      </x:c>
      <x:c r="E12" s="2" t="str">
        <x:v>&lt;</x:v>
      </x:c>
      <x:c r="F12" s="17"/>
      <x:c r="G12" s="2" t="str"/>
    </x:row>
    <x:row r="13" ht="36" customHeight="1">
      <x:c r="A13" s="2" t="str">
        <x:v>Silica</x:v>
      </x:c>
      <x:c r="B13" s="9" t="str">
        <x:v>Silica after chipper · AE · Chp4 (ppm)</x:v>
      </x:c>
      <x:c r="C13" s="17"/>
      <x:c r="D13" s="17" t="n">
        <x:v>160</x:v>
      </x:c>
      <x:c r="E13" s="2" t="str">
        <x:v>&lt;</x:v>
      </x:c>
      <x:c r="F13" s="17"/>
      <x:c r="G13" s="2" t="str"/>
    </x:row>
    <x:row r="14" ht="36" customHeight="1">
      <x:c r="A14" s="2" t="str">
        <x:v>Silica</x:v>
      </x:c>
      <x:c r="B14" s="9" t="str">
        <x:v>Silica after chipper · AE · F3 (Chp5) (ppm)</x:v>
      </x:c>
      <x:c r="C14" s="17"/>
      <x:c r="D14" s="17" t="n">
        <x:v>160</x:v>
      </x:c>
      <x:c r="E14" s="2" t="str">
        <x:v>&lt;</x:v>
      </x:c>
      <x:c r="F14" s="17"/>
      <x:c r="G14" s="2" t="str"/>
    </x:row>
    <x:row r="15" ht="36" customHeight="1">
      <x:c r="A15" s="2" t="str">
        <x:v>Silica</x:v>
      </x:c>
      <x:c r="B15" s="9" t="str">
        <x:v>Silica after chipper · AE · SF3 (Chp6) (ppm)</x:v>
      </x:c>
      <x:c r="C15" s="17"/>
      <x:c r="D15" s="17" t="n">
        <x:v>160</x:v>
      </x:c>
      <x:c r="E15" s="2" t="str">
        <x:v>&lt;</x:v>
      </x:c>
      <x:c r="F15" s="17"/>
      <x:c r="G15" s="2" t="str"/>
    </x:row>
    <x:row r="16" ht="36" customHeight="1">
      <x:c r="A16" s="2" t="str">
        <x:v>Silica</x:v>
      </x:c>
      <x:c r="B16" s="9" t="str">
        <x:v>Silica after chipper · AE · F4 (Chp7/8) (ppm)</x:v>
      </x:c>
      <x:c r="C16" s="17"/>
      <x:c r="D16" s="17" t="n">
        <x:v>160</x:v>
      </x:c>
      <x:c r="E16" s="2" t="str">
        <x:v>&lt;</x:v>
      </x:c>
      <x:c r="F16" s="17"/>
      <x:c r="G16" s="2" t="str"/>
    </x:row>
    <x:row r="17" ht="36" customHeight="1">
      <x:c r="A17" s="2" t="str">
        <x:v>Silica</x:v>
      </x:c>
      <x:c r="B17" s="9" t="str">
        <x:v>Silica after chipper · AE · F6 (Chp9/10) (ppm)</x:v>
      </x:c>
      <x:c r="C17" s="17"/>
      <x:c r="D17" s="17" t="n">
        <x:v>160</x:v>
      </x:c>
      <x:c r="E17" s="2" t="str">
        <x:v>&lt;</x:v>
      </x:c>
      <x:c r="F17" s="17"/>
      <x:c r="G17" s="2" t="str"/>
    </x:row>
    <x:row r="18" ht="36" customHeight="1">
      <x:c r="A18" s="2" t="str">
        <x:v>Silica</x:v>
      </x:c>
      <x:c r="B18" s="9" t="str">
        <x:v>Silica after chipper · AE · F6 (Chp11) (ppm)</x:v>
      </x:c>
      <x:c r="C18" s="17"/>
      <x:c r="D18" s="17" t="n">
        <x:v>160</x:v>
      </x:c>
      <x:c r="E18" s="2" t="str">
        <x:v>&lt;</x:v>
      </x:c>
      <x:c r="F18" s="17"/>
      <x:c r="G18" s="2" t="str"/>
    </x:row>
    <x:row r="19" ht="36" customHeight="1">
      <x:c r="A19" s="2" t="str">
        <x:v>Silica</x:v>
      </x:c>
      <x:c r="B19" s="9" t="str">
        <x:v>Silica after chipper · AE · SF6 (Chp12) (ppm)</x:v>
      </x:c>
      <x:c r="C19" s="17"/>
      <x:c r="D19" s="17" t="n">
        <x:v>160</x:v>
      </x:c>
      <x:c r="E19" s="2" t="str">
        <x:v>&lt;</x:v>
      </x:c>
      <x:c r="F19" s="17"/>
      <x:c r="G19" s="2" t="str"/>
    </x:row>
    <x:row r="20" ht="36" customHeight="1">
      <x:c r="A20" s="2" t="str">
        <x:v>Monthly silica</x:v>
      </x:c>
      <x:c r="B20" s="9" t="str">
        <x:v>Silica after chipper · AE · Chp1 (ppm)</x:v>
      </x:c>
      <x:c r="C20" s="17"/>
      <x:c r="D20" s="17" t="n">
        <x:v>160</x:v>
      </x:c>
      <x:c r="E20" s="2" t="str">
        <x:v>&lt;</x:v>
      </x:c>
      <x:c r="F20" s="17"/>
      <x:c r="G20" s="2" t="str"/>
    </x:row>
    <x:row r="21" ht="36" customHeight="1">
      <x:c r="A21" s="2" t="str">
        <x:v>Monthly silica</x:v>
      </x:c>
      <x:c r="B21" s="9" t="str">
        <x:v>Silica Chip to FL1 · AE (ppm)</x:v>
      </x:c>
      <x:c r="C21" s="17"/>
      <x:c r="D21" s="17" t="n">
        <x:v>160</x:v>
      </x:c>
      <x:c r="E21" s="2" t="str">
        <x:v>&lt;=</x:v>
      </x:c>
      <x:c r="F21" s="17"/>
      <x:c r="G21" s="2" t="str"/>
    </x:row>
    <x:row r="22" ht="36" customHeight="1">
      <x:c r="A22" s="2" t="str">
        <x:v>Monthly silica</x:v>
      </x:c>
      <x:c r="B22" s="9" t="str">
        <x:v>Silica Chip to FL2 · AE (ppm)</x:v>
      </x:c>
      <x:c r="C22" s="17"/>
      <x:c r="D22" s="17" t="n">
        <x:v>160</x:v>
      </x:c>
      <x:c r="E22" s="2" t="str">
        <x:v>&lt;=</x:v>
      </x:c>
      <x:c r="F22" s="17"/>
      <x:c r="G22" s="2" t="str"/>
    </x:row>
    <x:row r="23" ht="36" customHeight="1">
      <x:c r="A23" s="2" t="str">
        <x:v>Monthly silica</x:v>
      </x:c>
      <x:c r="B23" s="9" t="str">
        <x:v>Silica Chip to FL2 · Lyocell (ppm)</x:v>
      </x:c>
      <x:c r="C23" s="17"/>
      <x:c r="D23" s="17" t="n">
        <x:v>160</x:v>
      </x:c>
      <x:c r="E23" s="2" t="str">
        <x:v>&lt;=</x:v>
      </x:c>
      <x:c r="F23" s="17"/>
      <x:c r="G23" s="2" t="str"/>
    </x:row>
    <x:row r="24" ht="36" customHeight="1">
      <x:c r="A24" s="2" t="str">
        <x:v>Monthly silica</x:v>
      </x:c>
      <x:c r="B24" s="9" t="str">
        <x:v>Silica unbleached · FL1 (ppm)</x:v>
      </x:c>
      <x:c r="C24" s="17"/>
      <x:c r="D24" s="17" t="n">
        <x:v>250</x:v>
      </x:c>
      <x:c r="E24" s="2" t="str">
        <x:v>&lt;=</x:v>
      </x:c>
      <x:c r="F24" s="17"/>
      <x:c r="G24" s="2" t="str"/>
    </x:row>
    <x:row r="25" ht="36" customHeight="1">
      <x:c r="A25" s="2" t="str">
        <x:v>Monthly silica</x:v>
      </x:c>
      <x:c r="B25" s="9" t="str">
        <x:v>Silica unbleached · FL2 (ppm)</x:v>
      </x:c>
      <x:c r="C25" s="17"/>
      <x:c r="D25" s="17" t="n">
        <x:v>250</x:v>
      </x:c>
      <x:c r="E25" s="2" t="str">
        <x:v>&lt;=</x:v>
      </x:c>
      <x:c r="F25" s="17"/>
      <x:c r="G25" s="2" t="str"/>
    </x:row>
    <x:row r="26" ht="36" customHeight="1">
      <x:c r="A26" s="2" t="str">
        <x:v>Monthly silica</x:v>
      </x:c>
      <x:c r="B26" s="9" t="str">
        <x:v>Silica unbleached · FL2 Lyocell (ppm)</x:v>
      </x:c>
      <x:c r="C26" s="17"/>
      <x:c r="D26" s="17" t="n">
        <x:v>250</x:v>
      </x:c>
      <x:c r="E26" s="2" t="str">
        <x:v>&lt;=</x:v>
      </x:c>
      <x:c r="F26" s="17"/>
      <x:c r="G26" s="2" t="str"/>
    </x:row>
    <x:row r="27" ht="36" customHeight="1">
      <x:c r="A27" s="2" t="str">
        <x:v>Monthly silica</x:v>
      </x:c>
      <x:c r="B27" s="9" t="str">
        <x:v>Silica pulp dryer · FL1 · AE (ppm)</x:v>
      </x:c>
      <x:c r="C27" s="17"/>
      <x:c r="D27" s="17" t="n">
        <x:v>55</x:v>
      </x:c>
      <x:c r="E27" s="2" t="str">
        <x:v>&lt;=</x:v>
      </x:c>
      <x:c r="F27" s="17" t="n">
        <x:v>80</x:v>
      </x:c>
      <x:c r="G27" s="2" t="str">
        <x:v>Sateri</x:v>
      </x:c>
    </x:row>
    <x:row r="28" ht="36" customHeight="1">
      <x:c r="A28" s="2" t="str">
        <x:v>Monthly silica</x:v>
      </x:c>
      <x:c r="B28" s="9" t="str">
        <x:v>Silica pulp dryer · FL2 · AE (ppm)</x:v>
      </x:c>
      <x:c r="C28" s="17"/>
      <x:c r="D28" s="17" t="n">
        <x:v>55</x:v>
      </x:c>
      <x:c r="E28" s="2" t="str">
        <x:v>&lt;=</x:v>
      </x:c>
      <x:c r="F28" s="17" t="n">
        <x:v>80</x:v>
      </x:c>
      <x:c r="G28" s="2" t="str">
        <x:v>Sateri</x:v>
      </x:c>
    </x:row>
    <x:row r="29" ht="36" customHeight="1">
      <x:c r="A29" s="2" t="str">
        <x:v>Monthly silica</x:v>
      </x:c>
      <x:c r="B29" s="9" t="str">
        <x:v>Silica pulp dryer · FL2 · Lyocell (ppm)</x:v>
      </x:c>
      <x:c r="C29" s="17"/>
      <x:c r="D29" s="17" t="n">
        <x:v>40</x:v>
      </x:c>
      <x:c r="E29" s="2" t="str">
        <x:v>&lt;=</x:v>
      </x:c>
      <x:c r="F29" s="17"/>
      <x:c r="G29" s="2" t="str"/>
    </x:row>
    <x:row r="30" ht="36" customHeight="1">
      <x:c r="A30" s="2" t="str">
        <x:v>Monthly silica</x:v>
      </x:c>
      <x:c r="B30" s="9" t="str">
        <x:v>Silica after chipper · AE · Chp2 (ppm)</x:v>
      </x:c>
      <x:c r="C30" s="17"/>
      <x:c r="D30" s="17" t="n">
        <x:v>160</x:v>
      </x:c>
      <x:c r="E30" s="2" t="str">
        <x:v>&lt;</x:v>
      </x:c>
      <x:c r="F30" s="17"/>
      <x:c r="G30" s="2" t="str"/>
    </x:row>
    <x:row r="31" ht="36" customHeight="1">
      <x:c r="A31" s="2" t="str">
        <x:v>Monthly silica</x:v>
      </x:c>
      <x:c r="B31" s="9" t="str">
        <x:v>Silica after chipper · AE · Chp4 (ppm)</x:v>
      </x:c>
      <x:c r="C31" s="17"/>
      <x:c r="D31" s="17" t="n">
        <x:v>160</x:v>
      </x:c>
      <x:c r="E31" s="2" t="str">
        <x:v>&lt;</x:v>
      </x:c>
      <x:c r="F31" s="17"/>
      <x:c r="G31" s="2" t="str"/>
    </x:row>
    <x:row r="32" ht="36" customHeight="1">
      <x:c r="A32" s="2" t="str">
        <x:v>Monthly silica</x:v>
      </x:c>
      <x:c r="B32" s="9" t="str">
        <x:v>Silica after chipper · AE · F3 (Chp5) (ppm)</x:v>
      </x:c>
      <x:c r="C32" s="17"/>
      <x:c r="D32" s="17" t="n">
        <x:v>160</x:v>
      </x:c>
      <x:c r="E32" s="2" t="str">
        <x:v>&lt;</x:v>
      </x:c>
      <x:c r="F32" s="17"/>
      <x:c r="G32" s="2" t="str"/>
    </x:row>
    <x:row r="33" ht="36" customHeight="1">
      <x:c r="A33" s="2" t="str">
        <x:v>Monthly silica</x:v>
      </x:c>
      <x:c r="B33" s="9" t="str">
        <x:v>Silica after chipper · AE · SF3 (Chp6) (ppm)</x:v>
      </x:c>
      <x:c r="C33" s="17"/>
      <x:c r="D33" s="17" t="n">
        <x:v>160</x:v>
      </x:c>
      <x:c r="E33" s="2" t="str">
        <x:v>&lt;</x:v>
      </x:c>
      <x:c r="F33" s="17"/>
      <x:c r="G33" s="2" t="str"/>
    </x:row>
    <x:row r="34" ht="36" customHeight="1">
      <x:c r="A34" s="2" t="str">
        <x:v>Monthly silica</x:v>
      </x:c>
      <x:c r="B34" s="9" t="str">
        <x:v>Silica after chipper · AE · F4 (Chp7/8) (ppm)</x:v>
      </x:c>
      <x:c r="C34" s="17"/>
      <x:c r="D34" s="17" t="n">
        <x:v>160</x:v>
      </x:c>
      <x:c r="E34" s="2" t="str">
        <x:v>&lt;</x:v>
      </x:c>
      <x:c r="F34" s="17"/>
      <x:c r="G34" s="2" t="str"/>
    </x:row>
    <x:row r="35" ht="36" customHeight="1">
      <x:c r="A35" s="2" t="str">
        <x:v>Monthly silica</x:v>
      </x:c>
      <x:c r="B35" s="9" t="str">
        <x:v>Silica after chipper · AE · F6 (Chp9/10) (ppm)</x:v>
      </x:c>
      <x:c r="C35" s="17"/>
      <x:c r="D35" s="17" t="n">
        <x:v>160</x:v>
      </x:c>
      <x:c r="E35" s="2" t="str">
        <x:v>&lt;</x:v>
      </x:c>
      <x:c r="F35" s="17"/>
      <x:c r="G35" s="2" t="str"/>
    </x:row>
    <x:row r="36" ht="36" customHeight="1">
      <x:c r="A36" s="2" t="str">
        <x:v>Monthly silica</x:v>
      </x:c>
      <x:c r="B36" s="9" t="str">
        <x:v>Silica after chipper · AE · F6 (Chp11) (ppm)</x:v>
      </x:c>
      <x:c r="C36" s="17"/>
      <x:c r="D36" s="17" t="n">
        <x:v>160</x:v>
      </x:c>
      <x:c r="E36" s="2" t="str">
        <x:v>&lt;</x:v>
      </x:c>
      <x:c r="F36" s="17"/>
      <x:c r="G36" s="2" t="str"/>
    </x:row>
    <x:row r="37" ht="36" customHeight="1">
      <x:c r="A37" s="2" t="str">
        <x:v>Monthly silica</x:v>
      </x:c>
      <x:c r="B37" s="9" t="str">
        <x:v>Silica after chipper · AE · SF6 (Chp12) (ppm)</x:v>
      </x:c>
      <x:c r="C37" s="17"/>
      <x:c r="D37" s="17" t="n">
        <x:v>160</x:v>
      </x:c>
      <x:c r="E37" s="2" t="str">
        <x:v>&lt;</x:v>
      </x:c>
      <x:c r="F37" s="17"/>
      <x:c r="G37" s="2" t="str"/>
    </x:row>
    <x:row r="38" ht="36" customHeight="1">
      <x:c r="A38" s="2" t="str">
        <x:v>Washing</x:v>
      </x:c>
      <x:c r="B38" s="9" t="str">
        <x:v>Log washing pressure · WY1/2 · P001 (bar)</x:v>
      </x:c>
      <x:c r="C38" s="17" t="n">
        <x:v>8</x:v>
      </x:c>
      <x:c r="D38" s="17"/>
      <x:c r="E38" s="2" t="str"/>
      <x:c r="F38" s="17"/>
      <x:c r="G38" s="2" t="str"/>
    </x:row>
    <x:row r="39" ht="36" customHeight="1">
      <x:c r="A39" s="2" t="str">
        <x:v>Washing</x:v>
      </x:c>
      <x:c r="B39" s="9" t="str">
        <x:v>Log washing pressure · WY1/2 · P002 (bar)</x:v>
      </x:c>
      <x:c r="C39" s="17" t="n">
        <x:v>8</x:v>
      </x:c>
      <x:c r="D39" s="17"/>
      <x:c r="E39" s="2" t="str"/>
      <x:c r="F39" s="17"/>
      <x:c r="G39" s="2" t="str"/>
    </x:row>
    <x:row r="40" ht="36" customHeight="1">
      <x:c r="A40" s="2" t="str">
        <x:v>Washing</x:v>
      </x:c>
      <x:c r="B40" s="9" t="str">
        <x:v>Log washing pressure · WY1/2 · P003 (bar)</x:v>
      </x:c>
      <x:c r="C40" s="17" t="n">
        <x:v>8</x:v>
      </x:c>
      <x:c r="D40" s="17"/>
      <x:c r="E40" s="2" t="str"/>
      <x:c r="F40" s="17"/>
      <x:c r="G40" s="2" t="str"/>
    </x:row>
    <x:row r="41" ht="36" customHeight="1">
      <x:c r="A41" s="2" t="str">
        <x:v>Washing</x:v>
      </x:c>
      <x:c r="B41" s="9" t="str">
        <x:v>Log washing pressure · WY3 (bar)</x:v>
      </x:c>
      <x:c r="C41" s="17" t="n">
        <x:v>8</x:v>
      </x:c>
      <x:c r="D41" s="17"/>
      <x:c r="E41" s="2" t="str"/>
      <x:c r="F41" s="17"/>
      <x:c r="G41" s="2" t="str"/>
    </x:row>
    <x:row r="42" ht="36" customHeight="1">
      <x:c r="A42" s="2" t="str">
        <x:v>Washing</x:v>
      </x:c>
      <x:c r="B42" s="9" t="str">
        <x:v>Log washing pressure · WY4 (bar)</x:v>
      </x:c>
      <x:c r="C42" s="17" t="n">
        <x:v>8</x:v>
      </x:c>
      <x:c r="D42" s="17"/>
      <x:c r="E42" s="2" t="str"/>
      <x:c r="F42" s="17"/>
      <x:c r="G42" s="2" t="str"/>
    </x:row>
    <x:row r="43" ht="36" customHeight="1">
      <x:c r="A43" s="2" t="str">
        <x:v>Washing</x:v>
      </x:c>
      <x:c r="B43" s="9" t="str">
        <x:v>Log washing pressure · WY5 (bar)</x:v>
      </x:c>
      <x:c r="C43" s="17" t="n">
        <x:v>8</x:v>
      </x:c>
      <x:c r="D43" s="17"/>
      <x:c r="E43" s="2" t="str"/>
      <x:c r="F43" s="17"/>
      <x:c r="G43" s="2" t="str"/>
    </x:row>
    <x:row r="44" ht="36" customHeight="1">
      <x:c r="A44" s="2" t="str">
        <x:v>Washing</x:v>
      </x:c>
      <x:c r="B44" s="9" t="str">
        <x:v>Log washing pressure · WY6 (bar)</x:v>
      </x:c>
      <x:c r="C44" s="17" t="n">
        <x:v>8</x:v>
      </x:c>
      <x:c r="D44" s="17"/>
      <x:c r="E44" s="2" t="str"/>
      <x:c r="F44" s="17"/>
      <x:c r="G44" s="2" t="str"/>
    </x:row>
    <x:row r="45" ht="36" customHeight="1">
      <x:c r="A45" s="2" t="str">
        <x:v>Bypass</x:v>
      </x:c>
      <x:c r="B45" s="9" t="str">
        <x:v>Chip screen / CTS bypass · FL1 · Inlet chip screen (%)</x:v>
      </x:c>
      <x:c r="C45" s="17" t="n">
        <x:v>0</x:v>
      </x:c>
      <x:c r="D45" s="17" t="n">
        <x:v>5</x:v>
      </x:c>
      <x:c r="E45" s="2" t="str"/>
      <x:c r="F45" s="17"/>
      <x:c r="G45" s="2" t="str"/>
    </x:row>
    <x:row r="46" ht="36" customHeight="1">
      <x:c r="A46" s="2" t="str">
        <x:v>Bypass</x:v>
      </x:c>
      <x:c r="B46" s="9" t="str">
        <x:v>Chip screen / CTS bypass · FL1 · CTS 341C335 (%)</x:v>
      </x:c>
      <x:c r="C46" s="17" t="n">
        <x:v>0</x:v>
      </x:c>
      <x:c r="D46" s="17" t="n">
        <x:v>5</x:v>
      </x:c>
      <x:c r="E46" s="2" t="str"/>
      <x:c r="F46" s="17"/>
      <x:c r="G46" s="2" t="str"/>
    </x:row>
    <x:row r="47" ht="36" customHeight="1">
      <x:c r="A47" s="2" t="str">
        <x:v>Bypass</x:v>
      </x:c>
      <x:c r="B47" s="9" t="str">
        <x:v>Chip screen / CTS bypass · FL1 · Master screen (%)</x:v>
      </x:c>
      <x:c r="C47" s="17" t="n">
        <x:v>0</x:v>
      </x:c>
      <x:c r="D47" s="17" t="n">
        <x:v>5</x:v>
      </x:c>
      <x:c r="E47" s="2" t="str"/>
      <x:c r="F47" s="17"/>
      <x:c r="G47" s="2" t="str"/>
    </x:row>
    <x:row r="48" ht="36" customHeight="1">
      <x:c r="A48" s="2" t="str">
        <x:v>Bypass</x:v>
      </x:c>
      <x:c r="B48" s="9" t="str">
        <x:v>Chip screen / CTS bypass · FL1 · Fines screen (%)</x:v>
      </x:c>
      <x:c r="C48" s="17" t="n">
        <x:v>0</x:v>
      </x:c>
      <x:c r="D48" s="17" t="n">
        <x:v>5</x:v>
      </x:c>
      <x:c r="E48" s="2" t="str"/>
      <x:c r="F48" s="17"/>
      <x:c r="G48" s="2" t="str"/>
    </x:row>
    <x:row r="49" ht="36" customHeight="1">
      <x:c r="A49" s="2" t="str">
        <x:v>Bypass</x:v>
      </x:c>
      <x:c r="B49" s="9" t="str">
        <x:v>Chip screen / CTS bypass · FL2 · Inlet chip screen (%)</x:v>
      </x:c>
      <x:c r="C49" s="17" t="n">
        <x:v>0</x:v>
      </x:c>
      <x:c r="D49" s="17" t="n">
        <x:v>5</x:v>
      </x:c>
      <x:c r="E49" s="2" t="str"/>
      <x:c r="F49" s="17"/>
      <x:c r="G49" s="2" t="str"/>
    </x:row>
    <x:row r="50" ht="36" customHeight="1">
      <x:c r="A50" s="2" t="str">
        <x:v>Bypass</x:v>
      </x:c>
      <x:c r="B50" s="9" t="str">
        <x:v>Chip screen / CTS bypass · FL2 · CTS 341C501 (%)</x:v>
      </x:c>
      <x:c r="C50" s="17" t="n">
        <x:v>0</x:v>
      </x:c>
      <x:c r="D50" s="17" t="n">
        <x:v>5</x:v>
      </x:c>
      <x:c r="E50" s="2" t="str"/>
      <x:c r="F50" s="17"/>
      <x:c r="G50" s="2" t="str"/>
    </x:row>
    <x:row r="51" ht="36" customHeight="1">
      <x:c r="A51" s="2" t="str">
        <x:v>Bypass</x:v>
      </x:c>
      <x:c r="B51" s="9" t="str">
        <x:v>Chip screen / CTS bypass · FL2 · Master screen (%)</x:v>
      </x:c>
      <x:c r="C51" s="17" t="n">
        <x:v>0</x:v>
      </x:c>
      <x:c r="D51" s="17" t="n">
        <x:v>5</x:v>
      </x:c>
      <x:c r="E51" s="2" t="str"/>
      <x:c r="F51" s="17"/>
      <x:c r="G51" s="2" t="str"/>
    </x:row>
    <x:row r="52" ht="36" customHeight="1">
      <x:c r="A52" s="2" t="str">
        <x:v>Bypass</x:v>
      </x:c>
      <x:c r="B52" s="9" t="str">
        <x:v>Chip screen / CTS bypass · FL2 · Fines screen (%)</x:v>
      </x:c>
      <x:c r="C52" s="17" t="n">
        <x:v>0</x:v>
      </x:c>
      <x:c r="D52" s="17" t="n">
        <x:v>5</x:v>
      </x:c>
      <x:c r="E52" s="2" t="str"/>
      <x:c r="F52" s="17"/>
      <x:c r="G52" s="2" t="str"/>
    </x:row>
    <x:row r="53" ht="36" customHeight="1">
      <x:c r="A53" s="2" t="str">
        <x:v>Bark</x:v>
      </x:c>
      <x:c r="B53" s="9" t="str">
        <x:v>Bark on chip · AE · Bark (%)</x:v>
      </x:c>
      <x:c r="C53" s="17"/>
      <x:c r="D53" s="17"/>
      <x:c r="E53" s="2" t="str"/>
      <x:c r="F53" s="17"/>
      <x:c r="G53" s="2" t="str"/>
    </x:row>
    <x:row r="54" ht="36" customHeight="1">
      <x:c r="A54" s="2" t="str">
        <x:v>Bark</x:v>
      </x:c>
      <x:c r="B54" s="9" t="str">
        <x:v>Bark on chip · Lyocell · Bark (%)</x:v>
      </x:c>
      <x:c r="C54" s="17"/>
      <x:c r="D54" s="17"/>
      <x:c r="E54" s="2" t="str"/>
      <x:c r="F54" s="17"/>
      <x:c r="G54" s="2" t="str"/>
    </x:row>
    <x:row r="55" ht="36" customHeight="1">
      <x:c r="A55" s="2" t="str">
        <x:v>Screening flow</x:v>
      </x:c>
      <x:c r="B55" s="9" t="str">
        <x:v>Screening reject flow · FL1 quaternary screen · E032 (lps)</x:v>
      </x:c>
      <x:c r="C55" s="17" t="n">
        <x:v>7.6</x:v>
      </x:c>
      <x:c r="D55" s="17" t="n">
        <x:v>8.7</x:v>
      </x:c>
      <x:c r="E55" s="2" t="str"/>
      <x:c r="F55" s="17"/>
      <x:c r="G55" s="2" t="str"/>
    </x:row>
    <x:row r="56" ht="36" customHeight="1">
      <x:c r="A56" s="2" t="str">
        <x:v>Screening flow</x:v>
      </x:c>
      <x:c r="B56" s="9" t="str">
        <x:v>Screening reject flow · FL1 quaternary screen · E108 (lps)</x:v>
      </x:c>
      <x:c r="C56" s="17" t="n">
        <x:v>7.6</x:v>
      </x:c>
      <x:c r="D56" s="17" t="n">
        <x:v>8.7</x:v>
      </x:c>
      <x:c r="E56" s="2" t="str"/>
      <x:c r="F56" s="17"/>
      <x:c r="G56" s="2" t="str"/>
    </x:row>
    <x:row r="57" ht="36" customHeight="1">
      <x:c r="A57" s="2" t="str">
        <x:v>Screening operation</x:v>
      </x:c>
      <x:c r="B57" s="9" t="str">
        <x:v>Screening operation · Primary screen junk traps · Online (%)</x:v>
      </x:c>
      <x:c r="C57" s="17"/>
      <x:c r="D57" s="17"/>
      <x:c r="E57" s="2" t="str"/>
      <x:c r="F57" s="17"/>
      <x:c r="G57" s="2" t="str"/>
    </x:row>
    <x:row r="58" ht="36" customHeight="1">
      <x:c r="A58" s="2" t="str">
        <x:v>Screening operation</x:v>
      </x:c>
      <x:c r="B58" s="9" t="str">
        <x:v>Screening operation · Primary screen junk traps · Available (%)</x:v>
      </x:c>
      <x:c r="C58" s="17"/>
      <x:c r="D58" s="17"/>
      <x:c r="E58" s="2" t="str"/>
      <x:c r="F58" s="17"/>
      <x:c r="G58" s="2" t="str"/>
    </x:row>
    <x:row r="59" ht="36" customHeight="1">
      <x:c r="A59" s="2" t="str">
        <x:v>Screening operation</x:v>
      </x:c>
      <x:c r="B59" s="9" t="str">
        <x:v>Screening operation · 2nd / 3rd / 4th trap system · Online (%)</x:v>
      </x:c>
      <x:c r="C59" s="17"/>
      <x:c r="D59" s="17"/>
      <x:c r="E59" s="2" t="str"/>
      <x:c r="F59" s="17"/>
      <x:c r="G59" s="2" t="str"/>
    </x:row>
    <x:row r="60" ht="36" customHeight="1">
      <x:c r="A60" s="2" t="str">
        <x:v>Screening operation</x:v>
      </x:c>
      <x:c r="B60" s="9" t="str">
        <x:v>Screening operation · 2nd / 3rd / 4th trap system · Available (%)</x:v>
      </x:c>
      <x:c r="C60" s="17"/>
      <x:c r="D60" s="17"/>
      <x:c r="E60" s="2" t="str"/>
      <x:c r="F60" s="17"/>
      <x:c r="G60" s="2" t="str"/>
    </x:row>
    <x:row r="61" ht="36" customHeight="1">
      <x:c r="A61" s="2" t="str">
        <x:v>Screening operation</x:v>
      </x:c>
      <x:c r="B61" s="9" t="str">
        <x:v>Screening operation · Cyclones 84–87 · Online (%)</x:v>
      </x:c>
      <x:c r="C61" s="17"/>
      <x:c r="D61" s="17"/>
      <x:c r="E61" s="2" t="str"/>
      <x:c r="F61" s="17"/>
      <x:c r="G61" s="2" t="str"/>
    </x:row>
    <x:row r="62" ht="36" customHeight="1">
      <x:c r="A62" s="2" t="str">
        <x:v>Screening operation</x:v>
      </x:c>
      <x:c r="B62" s="9" t="str">
        <x:v>Screening operation · Cyclones 84–87 · Available (%)</x:v>
      </x:c>
      <x:c r="C62" s="17"/>
      <x:c r="D62" s="17"/>
      <x:c r="E62" s="2" t="str"/>
      <x:c r="F62" s="17"/>
      <x:c r="G62" s="2" t="str"/>
    </x:row>
    <x:row r="63" ht="36" customHeight="1">
      <x:c r="A63" s="2" t="str">
        <x:v>pH</x:v>
      </x:c>
      <x:c r="B63" s="9" t="str">
        <x:v>Bleaching pH · FL1 D0 · Lab (pH)</x:v>
      </x:c>
      <x:c r="C63" s="17"/>
      <x:c r="D63" s="17" t="n">
        <x:v>2.3</x:v>
      </x:c>
      <x:c r="E63" s="2" t="str"/>
      <x:c r="F63" s="17"/>
      <x:c r="G63" s="2" t="str"/>
    </x:row>
    <x:row r="64" ht="36" customHeight="1">
      <x:c r="A64" s="2" t="str">
        <x:v>pH</x:v>
      </x:c>
      <x:c r="B64" s="9" t="str">
        <x:v>Bleaching pH · FL1 D1 · Lab (pH)</x:v>
      </x:c>
      <x:c r="C64" s="17" t="n">
        <x:v>3.8</x:v>
      </x:c>
      <x:c r="D64" s="17" t="n">
        <x:v>4</x:v>
      </x:c>
      <x:c r="E64" s="2" t="str"/>
      <x:c r="F64" s="17"/>
      <x:c r="G64" s="2" t="str"/>
    </x:row>
    <x:row r="65" ht="36" customHeight="1">
      <x:c r="A65" s="2" t="str">
        <x:v>pH</x:v>
      </x:c>
      <x:c r="B65" s="9" t="str">
        <x:v>Bleaching pH · FL1 D2 STP · Lab (pH)</x:v>
      </x:c>
      <x:c r="C65" s="17" t="n">
        <x:v>3.8</x:v>
      </x:c>
      <x:c r="D65" s="17" t="n">
        <x:v>4</x:v>
      </x:c>
      <x:c r="E65" s="2" t="str"/>
      <x:c r="F65" s="17"/>
      <x:c r="G65" s="2" t="str"/>
    </x:row>
    <x:row r="66" ht="36" customHeight="1">
      <x:c r="A66" s="2" t="str">
        <x:v>pH</x:v>
      </x:c>
      <x:c r="B66" s="9" t="str">
        <x:v>Bleaching pH · FL1 D2 STP · Online (pH)</x:v>
      </x:c>
      <x:c r="C66" s="17" t="n">
        <x:v>3.8</x:v>
      </x:c>
      <x:c r="D66" s="17" t="n">
        <x:v>4</x:v>
      </x:c>
      <x:c r="E66" s="2" t="str"/>
      <x:c r="F66" s="17"/>
      <x:c r="G66" s="2" t="str"/>
    </x:row>
    <x:row r="67" ht="36" customHeight="1">
      <x:c r="A67" s="2" t="str">
        <x:v>OV reject</x:v>
      </x:c>
      <x:c r="B67" s="9" t="str">
        <x:v>OV reject · PD1 Old line · Stage 4 (%)</x:v>
      </x:c>
      <x:c r="C67" s="17"/>
      <x:c r="D67" s="17"/>
      <x:c r="E67" s="2" t="str"/>
      <x:c r="F67" s="17"/>
      <x:c r="G67" s="2" t="str"/>
    </x:row>
    <x:row r="68" ht="36" customHeight="1">
      <x:c r="A68" s="2" t="str">
        <x:v>OV reject</x:v>
      </x:c>
      <x:c r="B68" s="9" t="str">
        <x:v>OV reject · PD1 Old line · Stage 5 (%)</x:v>
      </x:c>
      <x:c r="C68" s="17"/>
      <x:c r="D68" s="17"/>
      <x:c r="E68" s="2" t="str"/>
      <x:c r="F68" s="17"/>
      <x:c r="G68" s="2" t="str"/>
    </x:row>
    <x:row r="69" ht="36" customHeight="1">
      <x:c r="A69" s="2" t="str">
        <x:v>OV reject</x:v>
      </x:c>
      <x:c r="B69" s="9" t="str">
        <x:v>OV reject · PD1 Old line · Stage 6 (%)</x:v>
      </x:c>
      <x:c r="C69" s="17"/>
      <x:c r="D69" s="17"/>
      <x:c r="E69" s="2" t="str"/>
      <x:c r="F69" s="17"/>
      <x:c r="G69" s="2" t="str"/>
    </x:row>
    <x:row r="70" ht="36" customHeight="1">
      <x:c r="A70" s="2" t="str">
        <x:v>OV reject</x:v>
      </x:c>
      <x:c r="B70" s="9" t="str">
        <x:v>OV reject · PD1 New line · Stage 4 (%)</x:v>
      </x:c>
      <x:c r="C70" s="17"/>
      <x:c r="D70" s="17"/>
      <x:c r="E70" s="2" t="str"/>
      <x:c r="F70" s="17"/>
      <x:c r="G70" s="2" t="str"/>
    </x:row>
    <x:row r="71" ht="36" customHeight="1">
      <x:c r="A71" s="2" t="str">
        <x:v>OV reject</x:v>
      </x:c>
      <x:c r="B71" s="9" t="str">
        <x:v>OV reject · PD1 New line · Stage 5 (%)</x:v>
      </x:c>
      <x:c r="C71" s="17"/>
      <x:c r="D71" s="17"/>
      <x:c r="E71" s="2" t="str"/>
      <x:c r="F71" s="17"/>
      <x:c r="G71" s="2" t="str"/>
    </x:row>
    <x:row r="72" ht="36" customHeight="1">
      <x:c r="A72" s="2" t="str">
        <x:v>OV reject</x:v>
      </x:c>
      <x:c r="B72" s="9" t="str">
        <x:v>OV reject · PD1 New line · Stage 6 (%)</x:v>
      </x:c>
      <x:c r="C72" s="17"/>
      <x:c r="D72" s="17"/>
      <x:c r="E72" s="2" t="str"/>
      <x:c r="F72" s="17"/>
      <x:c r="G72" s="2" t="str"/>
    </x:row>
    <x:row r="73" ht="36" customHeight="1">
      <x:c r="A73" s="2" t="str">
        <x:v>OV reject</x:v>
      </x:c>
      <x:c r="B73" s="9" t="str">
        <x:v>OV reject · PD2 Old line · Stage 4 (%)</x:v>
      </x:c>
      <x:c r="C73" s="17"/>
      <x:c r="D73" s="17"/>
      <x:c r="E73" s="2" t="str"/>
      <x:c r="F73" s="17"/>
      <x:c r="G73" s="2" t="str"/>
    </x:row>
    <x:row r="74" ht="36" customHeight="1">
      <x:c r="A74" s="2" t="str">
        <x:v>OV reject</x:v>
      </x:c>
      <x:c r="B74" s="9" t="str">
        <x:v>OV reject · PD2 Old line · Stage 5 (%)</x:v>
      </x:c>
      <x:c r="C74" s="17"/>
      <x:c r="D74" s="17"/>
      <x:c r="E74" s="2" t="str"/>
      <x:c r="F74" s="17"/>
      <x:c r="G74" s="2" t="str"/>
    </x:row>
    <x:row r="75" ht="36" customHeight="1">
      <x:c r="A75" s="2" t="str">
        <x:v>OV reject</x:v>
      </x:c>
      <x:c r="B75" s="9" t="str">
        <x:v>OV reject · PD2 Old line · Stage 6 (%)</x:v>
      </x:c>
      <x:c r="C75" s="17"/>
      <x:c r="D75" s="17"/>
      <x:c r="E75" s="2" t="str"/>
      <x:c r="F75" s="17"/>
      <x:c r="G75" s="2" t="str"/>
    </x:row>
    <x:row r="76" ht="36" customHeight="1">
      <x:c r="A76" s="2" t="str">
        <x:v>OV reject</x:v>
      </x:c>
      <x:c r="B76" s="9" t="str">
        <x:v>OV reject · PD2 New line · Stage 4 (%)</x:v>
      </x:c>
      <x:c r="C76" s="17"/>
      <x:c r="D76" s="17"/>
      <x:c r="E76" s="2" t="str"/>
      <x:c r="F76" s="17"/>
      <x:c r="G76" s="2" t="str"/>
    </x:row>
    <x:row r="77" ht="36" customHeight="1">
      <x:c r="A77" s="2" t="str">
        <x:v>OV reject</x:v>
      </x:c>
      <x:c r="B77" s="9" t="str">
        <x:v>OV reject · PD2 New line · Stage 5 (%)</x:v>
      </x:c>
      <x:c r="C77" s="17"/>
      <x:c r="D77" s="17"/>
      <x:c r="E77" s="2" t="str"/>
      <x:c r="F77" s="17"/>
      <x:c r="G77" s="2" t="str"/>
    </x:row>
    <x:row r="78" ht="36" customHeight="1">
      <x:c r="A78" s="2" t="str">
        <x:v>OV reject</x:v>
      </x:c>
      <x:c r="B78" s="9" t="str">
        <x:v>OV reject · PD2 New line · Stage 6 (%)</x:v>
      </x:c>
      <x:c r="C78" s="17"/>
      <x:c r="D78" s="17"/>
      <x:c r="E78" s="2" t="str"/>
      <x:c r="F78" s="17"/>
      <x:c r="G78" s="2" t="str"/>
    </x:row>
    <x:row r="79" ht="36" customHeight="1">
      <x:c r="A79" s="2" t="str">
        <x:v>OV reject</x:v>
      </x:c>
      <x:c r="B79" s="9" t="str">
        <x:v>OV reject · PD3 Line 1 · Stage 4 (%)</x:v>
      </x:c>
      <x:c r="C79" s="17"/>
      <x:c r="D79" s="17"/>
      <x:c r="E79" s="2" t="str"/>
      <x:c r="F79" s="17"/>
      <x:c r="G79" s="2" t="str"/>
    </x:row>
    <x:row r="80" ht="36" customHeight="1">
      <x:c r="A80" s="2" t="str">
        <x:v>OV reject</x:v>
      </x:c>
      <x:c r="B80" s="9" t="str">
        <x:v>OV reject · PD3 Line 1 · Stage 5 (%)</x:v>
      </x:c>
      <x:c r="C80" s="17"/>
      <x:c r="D80" s="17"/>
      <x:c r="E80" s="2" t="str"/>
      <x:c r="F80" s="17"/>
      <x:c r="G80" s="2" t="str"/>
    </x:row>
    <x:row r="81" ht="36" customHeight="1">
      <x:c r="A81" s="2" t="str">
        <x:v>OV reject</x:v>
      </x:c>
      <x:c r="B81" s="9" t="str">
        <x:v>OV reject · PD3 Line 1 · Stage 6 (%)</x:v>
      </x:c>
      <x:c r="C81" s="17"/>
      <x:c r="D81" s="17"/>
      <x:c r="E81" s="2" t="str"/>
      <x:c r="F81" s="17"/>
      <x:c r="G81" s="2" t="str"/>
    </x:row>
    <x:row r="82" ht="36" customHeight="1">
      <x:c r="A82" s="2" t="str">
        <x:v>OV reject</x:v>
      </x:c>
      <x:c r="B82" s="9" t="str">
        <x:v>OV reject · PD3 Line 2 · Stage 4 (%)</x:v>
      </x:c>
      <x:c r="C82" s="17"/>
      <x:c r="D82" s="17"/>
      <x:c r="E82" s="2" t="str"/>
      <x:c r="F82" s="17"/>
      <x:c r="G82" s="2" t="str"/>
    </x:row>
    <x:row r="83" ht="36" customHeight="1">
      <x:c r="A83" s="2" t="str">
        <x:v>OV reject</x:v>
      </x:c>
      <x:c r="B83" s="9" t="str">
        <x:v>OV reject · PD3 Line 2 · Stage 5 (%)</x:v>
      </x:c>
      <x:c r="C83" s="17"/>
      <x:c r="D83" s="17"/>
      <x:c r="E83" s="2" t="str"/>
      <x:c r="F83" s="17"/>
      <x:c r="G83" s="2" t="str"/>
    </x:row>
    <x:row r="84" ht="36" customHeight="1">
      <x:c r="A84" s="2" t="str">
        <x:v>OV reject</x:v>
      </x:c>
      <x:c r="B84" s="9" t="str">
        <x:v>OV reject · PD3 Line 2 · Stage 6 (%)</x:v>
      </x:c>
      <x:c r="C84" s="17"/>
      <x:c r="D84" s="17"/>
      <x:c r="E84" s="2" t="str"/>
      <x:c r="F84" s="17"/>
      <x:c r="G84" s="2" t="str"/>
    </x:row>
    <x:row r="85" ht="36" customHeight="1">
      <x:c r="A85" s="2" t="str">
        <x:v>OV reject</x:v>
      </x:c>
      <x:c r="B85" s="9" t="str">
        <x:v>OV reject · PD3 Line 3 · Stage 7 (%)</x:v>
      </x:c>
      <x:c r="C85" s="17"/>
      <x:c r="D85" s="17"/>
      <x:c r="E85" s="2" t="str"/>
      <x:c r="F85" s="17"/>
      <x:c r="G85" s="2" t="str"/>
    </x:row>
    <x:row r="86" ht="36" customHeight="1">
      <x:c r="A86" s="2" t="str">
        <x:v>Headbox pH</x:v>
      </x:c>
      <x:c r="B86" s="9" t="str">
        <x:v>Headbox pH · PD1 · SP (pH)</x:v>
      </x:c>
      <x:c r="C86" s="17"/>
      <x:c r="D86" s="17"/>
      <x:c r="E86" s="2" t="str"/>
      <x:c r="F86" s="17"/>
      <x:c r="G86" s="2" t="str"/>
    </x:row>
    <x:row r="87" ht="36" customHeight="1">
      <x:c r="A87" s="2" t="str">
        <x:v>Headbox pH</x:v>
      </x:c>
      <x:c r="B87" s="9" t="str">
        <x:v>Headbox pH · PD1 · Act (pH)</x:v>
      </x:c>
      <x:c r="C87" s="17"/>
      <x:c r="D87" s="17"/>
      <x:c r="E87" s="2" t="str"/>
      <x:c r="F87" s="17"/>
      <x:c r="G87" s="2" t="str"/>
    </x:row>
    <x:row r="88" ht="36" customHeight="1">
      <x:c r="A88" s="2" t="str">
        <x:v>Headbox pH</x:v>
      </x:c>
      <x:c r="B88" s="9" t="str">
        <x:v>Headbox pH · PD2 · SP (pH)</x:v>
      </x:c>
      <x:c r="C88" s="17"/>
      <x:c r="D88" s="17"/>
      <x:c r="E88" s="2" t="str"/>
      <x:c r="F88" s="17"/>
      <x:c r="G88" s="2" t="str"/>
    </x:row>
    <x:row r="89" ht="36" customHeight="1">
      <x:c r="A89" s="2" t="str">
        <x:v>Headbox pH</x:v>
      </x:c>
      <x:c r="B89" s="9" t="str">
        <x:v>Headbox pH · PD2 · Act (pH)</x:v>
      </x:c>
      <x:c r="C89" s="17"/>
      <x:c r="D89" s="17"/>
      <x:c r="E89" s="2" t="str"/>
      <x:c r="F89" s="17"/>
      <x:c r="G89" s="2" t="str"/>
    </x:row>
    <x:row r="90" ht="36" customHeight="1">
      <x:c r="A90" s="2" t="str">
        <x:v>Headbox pH</x:v>
      </x:c>
      <x:c r="B90" s="9" t="str">
        <x:v>Headbox pH · PD3 · SP (pH)</x:v>
      </x:c>
      <x:c r="C90" s="17"/>
      <x:c r="D90" s="17"/>
      <x:c r="E90" s="2" t="str"/>
      <x:c r="F90" s="17"/>
      <x:c r="G90" s="2" t="str"/>
    </x:row>
    <x:row r="91" ht="36" customHeight="1">
      <x:c r="A91" s="2" t="str">
        <x:v>Headbox pH</x:v>
      </x:c>
      <x:c r="B91" s="9" t="str">
        <x:v>Headbox pH · PD3 · Act (pH)</x:v>
      </x:c>
      <x:c r="C91" s="17"/>
      <x:c r="D91" s="17"/>
      <x:c r="E91" s="2" t="str"/>
      <x:c r="F91" s="17"/>
      <x:c r="G91" s="2" t="str"/>
    </x:row>
    <x:row r="92" ht="36" customHeight="1">
      <x:c r="A92" s="2" t="str">
        <x:v>TF PD1 Old</x:v>
      </x:c>
      <x:c r="B92" s="9" t="str">
        <x:v>1st A</x:v>
      </x:c>
      <x:c r="C92" s="17" t="n">
        <x:v>1.5</x:v>
      </x:c>
      <x:c r="D92" s="17"/>
      <x:c r="E92" s="2" t="str"/>
      <x:c r="F92" s="17"/>
      <x:c r="G92" s="2" t="str"/>
    </x:row>
    <x:row r="93" ht="36" customHeight="1">
      <x:c r="A93" s="2" t="str">
        <x:v>TF PD1 Old</x:v>
      </x:c>
      <x:c r="B93" s="9" t="str">
        <x:v>1st B</x:v>
      </x:c>
      <x:c r="C93" s="17" t="n">
        <x:v>1.5</x:v>
      </x:c>
      <x:c r="D93" s="17"/>
      <x:c r="E93" s="2" t="str"/>
      <x:c r="F93" s="17"/>
      <x:c r="G93" s="2" t="str"/>
    </x:row>
    <x:row r="94" ht="36" customHeight="1">
      <x:c r="A94" s="2" t="str">
        <x:v>TF PD1 Old</x:v>
      </x:c>
      <x:c r="B94" s="9" t="str">
        <x:v>1st C</x:v>
      </x:c>
      <x:c r="C94" s="17" t="n">
        <x:v>1.5</x:v>
      </x:c>
      <x:c r="D94" s="17"/>
      <x:c r="E94" s="2" t="str"/>
      <x:c r="F94" s="17"/>
      <x:c r="G94" s="2" t="str"/>
    </x:row>
    <x:row r="95" ht="36" customHeight="1">
      <x:c r="A95" s="2" t="str">
        <x:v>TF PD1 Old</x:v>
      </x:c>
      <x:c r="B95" s="9" t="str">
        <x:v>2nd A</x:v>
      </x:c>
      <x:c r="C95" s="17" t="n">
        <x:v>1.5</x:v>
      </x:c>
      <x:c r="D95" s="17"/>
      <x:c r="E95" s="2" t="str"/>
      <x:c r="F95" s="17"/>
      <x:c r="G95" s="2" t="str"/>
    </x:row>
    <x:row r="96" ht="36" customHeight="1">
      <x:c r="A96" s="2" t="str">
        <x:v>TF PD1 Old</x:v>
      </x:c>
      <x:c r="B96" s="9" t="str">
        <x:v>2nd B</x:v>
      </x:c>
      <x:c r="C96" s="17" t="n">
        <x:v>1.5</x:v>
      </x:c>
      <x:c r="D96" s="17"/>
      <x:c r="E96" s="2" t="str"/>
      <x:c r="F96" s="17"/>
      <x:c r="G96" s="2" t="str"/>
    </x:row>
    <x:row r="97" ht="36" customHeight="1">
      <x:c r="A97" s="2" t="str">
        <x:v>TF PD1 Old</x:v>
      </x:c>
      <x:c r="B97" s="9" t="str">
        <x:v>3rd</x:v>
      </x:c>
      <x:c r="C97" s="17" t="n">
        <x:v>1.5</x:v>
      </x:c>
      <x:c r="D97" s="17"/>
      <x:c r="E97" s="2" t="str"/>
      <x:c r="F97" s="17"/>
      <x:c r="G97" s="2" t="str"/>
    </x:row>
    <x:row r="98" ht="36" customHeight="1">
      <x:c r="A98" s="2" t="str">
        <x:v>TF PD1 Old</x:v>
      </x:c>
      <x:c r="B98" s="9" t="str">
        <x:v>4th</x:v>
      </x:c>
      <x:c r="C98" s="17" t="n">
        <x:v>1.5</x:v>
      </x:c>
      <x:c r="D98" s="17"/>
      <x:c r="E98" s="2" t="str"/>
      <x:c r="F98" s="17"/>
      <x:c r="G98" s="2" t="str"/>
    </x:row>
    <x:row r="99" ht="36" customHeight="1">
      <x:c r="A99" s="2" t="str">
        <x:v>TF PD1 Old</x:v>
      </x:c>
      <x:c r="B99" s="9" t="str">
        <x:v>5th</x:v>
      </x:c>
      <x:c r="C99" s="17" t="n">
        <x:v>1.5</x:v>
      </x:c>
      <x:c r="D99" s="17"/>
      <x:c r="E99" s="2" t="str"/>
      <x:c r="F99" s="17"/>
      <x:c r="G99" s="2" t="str"/>
    </x:row>
    <x:row r="100" ht="36" customHeight="1">
      <x:c r="A100" s="2" t="str">
        <x:v>TF PD1 Old</x:v>
      </x:c>
      <x:c r="B100" s="9" t="str">
        <x:v>6th</x:v>
      </x:c>
      <x:c r="C100" s="17" t="n">
        <x:v>1.5</x:v>
      </x:c>
      <x:c r="D100" s="17"/>
      <x:c r="E100" s="2" t="str"/>
      <x:c r="F100" s="17"/>
      <x:c r="G100" s="2" t="str"/>
    </x:row>
    <x:row r="101" ht="36" customHeight="1">
      <x:c r="A101" s="2" t="str">
        <x:v>TF PD1 Old</x:v>
      </x:c>
      <x:c r="B101" s="9" t="str">
        <x:v>Rev A</x:v>
      </x:c>
      <x:c r="C101" s="17" t="n">
        <x:v>1.5</x:v>
      </x:c>
      <x:c r="D101" s="17"/>
      <x:c r="E101" s="2" t="str"/>
      <x:c r="F101" s="17"/>
      <x:c r="G101" s="2" t="str"/>
    </x:row>
    <x:row r="102" ht="36" customHeight="1">
      <x:c r="A102" s="2" t="str">
        <x:v>TF PD1 Old</x:v>
      </x:c>
      <x:c r="B102" s="9" t="str">
        <x:v>Rev B</x:v>
      </x:c>
      <x:c r="C102" s="17" t="n">
        <x:v>1.5</x:v>
      </x:c>
      <x:c r="D102" s="17"/>
      <x:c r="E102" s="2" t="str"/>
      <x:c r="F102" s="17"/>
      <x:c r="G102" s="2" t="str"/>
    </x:row>
    <x:row r="103" ht="36" customHeight="1">
      <x:c r="A103" s="2" t="str">
        <x:v>TF PD1 Old</x:v>
      </x:c>
      <x:c r="B103" s="9" t="str">
        <x:v>Rev C</x:v>
      </x:c>
      <x:c r="C103" s="17" t="n">
        <x:v>1.5</x:v>
      </x:c>
      <x:c r="D103" s="17"/>
      <x:c r="E103" s="2" t="str"/>
      <x:c r="F103" s="17"/>
      <x:c r="G103" s="2" t="str"/>
    </x:row>
    <x:row r="104" ht="36" customHeight="1">
      <x:c r="A104" s="2" t="str">
        <x:v>TF PD1 New</x:v>
      </x:c>
      <x:c r="B104" s="9" t="str">
        <x:v>1st A</x:v>
      </x:c>
      <x:c r="C104" s="17" t="n">
        <x:v>1.5</x:v>
      </x:c>
      <x:c r="D104" s="17"/>
      <x:c r="E104" s="2" t="str"/>
      <x:c r="F104" s="17"/>
      <x:c r="G104" s="2" t="str"/>
    </x:row>
    <x:row r="105" ht="36" customHeight="1">
      <x:c r="A105" s="2" t="str">
        <x:v>TF PD1 New</x:v>
      </x:c>
      <x:c r="B105" s="9" t="str">
        <x:v>1st B</x:v>
      </x:c>
      <x:c r="C105" s="17" t="n">
        <x:v>1.5</x:v>
      </x:c>
      <x:c r="D105" s="17"/>
      <x:c r="E105" s="2" t="str"/>
      <x:c r="F105" s="17"/>
      <x:c r="G105" s="2" t="str"/>
    </x:row>
    <x:row r="106" ht="36" customHeight="1">
      <x:c r="A106" s="2" t="str">
        <x:v>TF PD1 New</x:v>
      </x:c>
      <x:c r="B106" s="9" t="str">
        <x:v>1st C</x:v>
      </x:c>
      <x:c r="C106" s="17" t="n">
        <x:v>1.5</x:v>
      </x:c>
      <x:c r="D106" s="17"/>
      <x:c r="E106" s="2" t="str"/>
      <x:c r="F106" s="17"/>
      <x:c r="G106" s="2" t="str"/>
    </x:row>
    <x:row r="107" ht="36" customHeight="1">
      <x:c r="A107" s="2" t="str">
        <x:v>TF PD1 New</x:v>
      </x:c>
      <x:c r="B107" s="9" t="str">
        <x:v>1st D</x:v>
      </x:c>
      <x:c r="C107" s="17" t="n">
        <x:v>1.5</x:v>
      </x:c>
      <x:c r="D107" s="17"/>
      <x:c r="E107" s="2" t="str"/>
      <x:c r="F107" s="17"/>
      <x:c r="G107" s="2" t="str"/>
    </x:row>
    <x:row r="108" ht="36" customHeight="1">
      <x:c r="A108" s="2" t="str">
        <x:v>TF PD1 New</x:v>
      </x:c>
      <x:c r="B108" s="9" t="str">
        <x:v>2nd</x:v>
      </x:c>
      <x:c r="C108" s="17" t="n">
        <x:v>1.5</x:v>
      </x:c>
      <x:c r="D108" s="17"/>
      <x:c r="E108" s="2" t="str"/>
      <x:c r="F108" s="17"/>
      <x:c r="G108" s="2" t="str"/>
    </x:row>
    <x:row r="109" ht="36" customHeight="1">
      <x:c r="A109" s="2" t="str">
        <x:v>TF PD1 New</x:v>
      </x:c>
      <x:c r="B109" s="9" t="str">
        <x:v>3rd</x:v>
      </x:c>
      <x:c r="C109" s="17" t="n">
        <x:v>1.5</x:v>
      </x:c>
      <x:c r="D109" s="17"/>
      <x:c r="E109" s="2" t="str"/>
      <x:c r="F109" s="17"/>
      <x:c r="G109" s="2" t="str"/>
    </x:row>
    <x:row r="110" ht="36" customHeight="1">
      <x:c r="A110" s="2" t="str">
        <x:v>TF PD1 New</x:v>
      </x:c>
      <x:c r="B110" s="9" t="str">
        <x:v>4th</x:v>
      </x:c>
      <x:c r="C110" s="17" t="n">
        <x:v>1.5</x:v>
      </x:c>
      <x:c r="D110" s="17"/>
      <x:c r="E110" s="2" t="str"/>
      <x:c r="F110" s="17"/>
      <x:c r="G110" s="2" t="str"/>
    </x:row>
    <x:row r="111" ht="36" customHeight="1">
      <x:c r="A111" s="2" t="str">
        <x:v>TF PD1 New</x:v>
      </x:c>
      <x:c r="B111" s="9" t="str">
        <x:v>5th</x:v>
      </x:c>
      <x:c r="C111" s="17" t="n">
        <x:v>1.5</x:v>
      </x:c>
      <x:c r="D111" s="17"/>
      <x:c r="E111" s="2" t="str"/>
      <x:c r="F111" s="17"/>
      <x:c r="G111" s="2" t="str"/>
    </x:row>
    <x:row r="112" ht="36" customHeight="1">
      <x:c r="A112" s="2" t="str">
        <x:v>TF PD1 New</x:v>
      </x:c>
      <x:c r="B112" s="9" t="str">
        <x:v>6th</x:v>
      </x:c>
      <x:c r="C112" s="17" t="n">
        <x:v>1.5</x:v>
      </x:c>
      <x:c r="D112" s="17"/>
      <x:c r="E112" s="2" t="str"/>
      <x:c r="F112" s="17"/>
      <x:c r="G112" s="2" t="str"/>
    </x:row>
    <x:row r="113" ht="36" customHeight="1">
      <x:c r="A113" s="2" t="str">
        <x:v>TF PD1 New</x:v>
      </x:c>
      <x:c r="B113" s="9" t="str">
        <x:v>Rev A</x:v>
      </x:c>
      <x:c r="C113" s="17" t="n">
        <x:v>1.5</x:v>
      </x:c>
      <x:c r="D113" s="17"/>
      <x:c r="E113" s="2" t="str"/>
      <x:c r="F113" s="17"/>
      <x:c r="G113" s="2" t="str"/>
    </x:row>
    <x:row r="114" ht="36" customHeight="1">
      <x:c r="A114" s="2" t="str">
        <x:v>TF PD1 New</x:v>
      </x:c>
      <x:c r="B114" s="9" t="str">
        <x:v>Rev B</x:v>
      </x:c>
      <x:c r="C114" s="17" t="n">
        <x:v>1.5</x:v>
      </x:c>
      <x:c r="D114" s="17"/>
      <x:c r="E114" s="2" t="str"/>
      <x:c r="F114" s="17"/>
      <x:c r="G114" s="2" t="str"/>
    </x:row>
    <x:row r="115" ht="36" customHeight="1">
      <x:c r="A115" s="2" t="str">
        <x:v>TF PD1 New</x:v>
      </x:c>
      <x:c r="B115" s="9" t="str">
        <x:v>Rev C</x:v>
      </x:c>
      <x:c r="C115" s="17" t="n">
        <x:v>1.5</x:v>
      </x:c>
      <x:c r="D115" s="17"/>
      <x:c r="E115" s="2" t="str"/>
      <x:c r="F115" s="17"/>
      <x:c r="G115" s="2" t="str"/>
    </x:row>
    <x:row r="116" ht="36" customHeight="1">
      <x:c r="A116" s="2" t="str">
        <x:v>TF PD1 New</x:v>
      </x:c>
      <x:c r="B116" s="9" t="str">
        <x:v>Rev D</x:v>
      </x:c>
      <x:c r="C116" s="17" t="n">
        <x:v>1.5</x:v>
      </x:c>
      <x:c r="D116" s="17"/>
      <x:c r="E116" s="2" t="str"/>
      <x:c r="F116" s="17"/>
      <x:c r="G116" s="2" t="str"/>
    </x:row>
    <x:row r="117" ht="36" customHeight="1">
      <x:c r="A117" s="2" t="str">
        <x:v>TF PD2 Old</x:v>
      </x:c>
      <x:c r="B117" s="9" t="str">
        <x:v>1st A</x:v>
      </x:c>
      <x:c r="C117" s="17" t="n">
        <x:v>1.5</x:v>
      </x:c>
      <x:c r="D117" s="17"/>
      <x:c r="E117" s="2" t="str"/>
      <x:c r="F117" s="17"/>
      <x:c r="G117" s="2" t="str"/>
    </x:row>
    <x:row r="118" ht="36" customHeight="1">
      <x:c r="A118" s="2" t="str">
        <x:v>TF PD2 Old</x:v>
      </x:c>
      <x:c r="B118" s="9" t="str">
        <x:v>1st B</x:v>
      </x:c>
      <x:c r="C118" s="17" t="n">
        <x:v>1.5</x:v>
      </x:c>
      <x:c r="D118" s="17"/>
      <x:c r="E118" s="2" t="str"/>
      <x:c r="F118" s="17"/>
      <x:c r="G118" s="2" t="str"/>
    </x:row>
    <x:row r="119" ht="36" customHeight="1">
      <x:c r="A119" s="2" t="str">
        <x:v>TF PD2 Old</x:v>
      </x:c>
      <x:c r="B119" s="9" t="str">
        <x:v>1st C</x:v>
      </x:c>
      <x:c r="C119" s="17" t="n">
        <x:v>1.5</x:v>
      </x:c>
      <x:c r="D119" s="17"/>
      <x:c r="E119" s="2" t="str"/>
      <x:c r="F119" s="17"/>
      <x:c r="G119" s="2" t="str"/>
    </x:row>
    <x:row r="120" ht="36" customHeight="1">
      <x:c r="A120" s="2" t="str">
        <x:v>TF PD2 Old</x:v>
      </x:c>
      <x:c r="B120" s="9" t="str">
        <x:v>2nd A</x:v>
      </x:c>
      <x:c r="C120" s="17" t="n">
        <x:v>1.5</x:v>
      </x:c>
      <x:c r="D120" s="17"/>
      <x:c r="E120" s="2" t="str"/>
      <x:c r="F120" s="17"/>
      <x:c r="G120" s="2" t="str"/>
    </x:row>
    <x:row r="121" ht="36" customHeight="1">
      <x:c r="A121" s="2" t="str">
        <x:v>TF PD2 Old</x:v>
      </x:c>
      <x:c r="B121" s="9" t="str">
        <x:v>2nd B</x:v>
      </x:c>
      <x:c r="C121" s="17" t="n">
        <x:v>1.5</x:v>
      </x:c>
      <x:c r="D121" s="17"/>
      <x:c r="E121" s="2" t="str"/>
      <x:c r="F121" s="17"/>
      <x:c r="G121" s="2" t="str"/>
    </x:row>
    <x:row r="122" ht="36" customHeight="1">
      <x:c r="A122" s="2" t="str">
        <x:v>TF PD2 Old</x:v>
      </x:c>
      <x:c r="B122" s="9" t="str">
        <x:v>3rd</x:v>
      </x:c>
      <x:c r="C122" s="17" t="n">
        <x:v>1.5</x:v>
      </x:c>
      <x:c r="D122" s="17"/>
      <x:c r="E122" s="2" t="str"/>
      <x:c r="F122" s="17"/>
      <x:c r="G122" s="2" t="str"/>
    </x:row>
    <x:row r="123" ht="36" customHeight="1">
      <x:c r="A123" s="2" t="str">
        <x:v>TF PD2 Old</x:v>
      </x:c>
      <x:c r="B123" s="9" t="str">
        <x:v>4th</x:v>
      </x:c>
      <x:c r="C123" s="17" t="n">
        <x:v>1.5</x:v>
      </x:c>
      <x:c r="D123" s="17"/>
      <x:c r="E123" s="2" t="str"/>
      <x:c r="F123" s="17"/>
      <x:c r="G123" s="2" t="str"/>
    </x:row>
    <x:row r="124" ht="36" customHeight="1">
      <x:c r="A124" s="2" t="str">
        <x:v>TF PD2 Old</x:v>
      </x:c>
      <x:c r="B124" s="9" t="str">
        <x:v>5th</x:v>
      </x:c>
      <x:c r="C124" s="17" t="n">
        <x:v>1.5</x:v>
      </x:c>
      <x:c r="D124" s="17"/>
      <x:c r="E124" s="2" t="str"/>
      <x:c r="F124" s="17"/>
      <x:c r="G124" s="2" t="str"/>
    </x:row>
    <x:row r="125" ht="36" customHeight="1">
      <x:c r="A125" s="2" t="str">
        <x:v>TF PD2 Old</x:v>
      </x:c>
      <x:c r="B125" s="9" t="str">
        <x:v>6th</x:v>
      </x:c>
      <x:c r="C125" s="17" t="n">
        <x:v>1.5</x:v>
      </x:c>
      <x:c r="D125" s="17"/>
      <x:c r="E125" s="2" t="str"/>
      <x:c r="F125" s="17"/>
      <x:c r="G125" s="2" t="str"/>
    </x:row>
    <x:row r="126" ht="36" customHeight="1">
      <x:c r="A126" s="2" t="str">
        <x:v>TF PD2 Old</x:v>
      </x:c>
      <x:c r="B126" s="9" t="str">
        <x:v>Rev A</x:v>
      </x:c>
      <x:c r="C126" s="17" t="n">
        <x:v>1.5</x:v>
      </x:c>
      <x:c r="D126" s="17"/>
      <x:c r="E126" s="2" t="str"/>
      <x:c r="F126" s="17"/>
      <x:c r="G126" s="2" t="str"/>
    </x:row>
    <x:row r="127" ht="36" customHeight="1">
      <x:c r="A127" s="2" t="str">
        <x:v>TF PD2 Old</x:v>
      </x:c>
      <x:c r="B127" s="9" t="str">
        <x:v>Rev B</x:v>
      </x:c>
      <x:c r="C127" s="17" t="n">
        <x:v>1.5</x:v>
      </x:c>
      <x:c r="D127" s="17"/>
      <x:c r="E127" s="2" t="str"/>
      <x:c r="F127" s="17"/>
      <x:c r="G127" s="2" t="str"/>
    </x:row>
    <x:row r="128" ht="36" customHeight="1">
      <x:c r="A128" s="2" t="str">
        <x:v>TF PD2 Old</x:v>
      </x:c>
      <x:c r="B128" s="9" t="str">
        <x:v>Rev C</x:v>
      </x:c>
      <x:c r="C128" s="17" t="n">
        <x:v>1.5</x:v>
      </x:c>
      <x:c r="D128" s="17"/>
      <x:c r="E128" s="2" t="str"/>
      <x:c r="F128" s="17"/>
      <x:c r="G128" s="2" t="str"/>
    </x:row>
    <x:row r="129" ht="36" customHeight="1">
      <x:c r="A129" s="2" t="str">
        <x:v>TF PD2 New</x:v>
      </x:c>
      <x:c r="B129" s="9" t="str">
        <x:v>1st A</x:v>
      </x:c>
      <x:c r="C129" s="17" t="n">
        <x:v>1.5</x:v>
      </x:c>
      <x:c r="D129" s="17"/>
      <x:c r="E129" s="2" t="str"/>
      <x:c r="F129" s="17"/>
      <x:c r="G129" s="2" t="str"/>
    </x:row>
    <x:row r="130" ht="36" customHeight="1">
      <x:c r="A130" s="2" t="str">
        <x:v>TF PD2 New</x:v>
      </x:c>
      <x:c r="B130" s="9" t="str">
        <x:v>1st B</x:v>
      </x:c>
      <x:c r="C130" s="17" t="n">
        <x:v>1.5</x:v>
      </x:c>
      <x:c r="D130" s="17"/>
      <x:c r="E130" s="2" t="str"/>
      <x:c r="F130" s="17"/>
      <x:c r="G130" s="2" t="str"/>
    </x:row>
    <x:row r="131" ht="36" customHeight="1">
      <x:c r="A131" s="2" t="str">
        <x:v>TF PD2 New</x:v>
      </x:c>
      <x:c r="B131" s="9" t="str">
        <x:v>1st C</x:v>
      </x:c>
      <x:c r="C131" s="17" t="n">
        <x:v>1.5</x:v>
      </x:c>
      <x:c r="D131" s="17"/>
      <x:c r="E131" s="2" t="str"/>
      <x:c r="F131" s="17"/>
      <x:c r="G131" s="2" t="str"/>
    </x:row>
    <x:row r="132" ht="36" customHeight="1">
      <x:c r="A132" s="2" t="str">
        <x:v>TF PD2 New</x:v>
      </x:c>
      <x:c r="B132" s="9" t="str">
        <x:v>1st D</x:v>
      </x:c>
      <x:c r="C132" s="17" t="n">
        <x:v>1.5</x:v>
      </x:c>
      <x:c r="D132" s="17"/>
      <x:c r="E132" s="2" t="str"/>
      <x:c r="F132" s="17"/>
      <x:c r="G132" s="2" t="str"/>
    </x:row>
    <x:row r="133" ht="36" customHeight="1">
      <x:c r="A133" s="2" t="str">
        <x:v>TF PD2 New</x:v>
      </x:c>
      <x:c r="B133" s="9" t="str">
        <x:v>2nd</x:v>
      </x:c>
      <x:c r="C133" s="17" t="n">
        <x:v>1.5</x:v>
      </x:c>
      <x:c r="D133" s="17"/>
      <x:c r="E133" s="2" t="str"/>
      <x:c r="F133" s="17"/>
      <x:c r="G133" s="2" t="str"/>
    </x:row>
    <x:row r="134" ht="36" customHeight="1">
      <x:c r="A134" s="2" t="str">
        <x:v>TF PD2 New</x:v>
      </x:c>
      <x:c r="B134" s="9" t="str">
        <x:v>3rd</x:v>
      </x:c>
      <x:c r="C134" s="17" t="n">
        <x:v>1.5</x:v>
      </x:c>
      <x:c r="D134" s="17"/>
      <x:c r="E134" s="2" t="str"/>
      <x:c r="F134" s="17"/>
      <x:c r="G134" s="2" t="str"/>
    </x:row>
    <x:row r="135" ht="36" customHeight="1">
      <x:c r="A135" s="2" t="str">
        <x:v>TF PD2 New</x:v>
      </x:c>
      <x:c r="B135" s="9" t="str">
        <x:v>4th</x:v>
      </x:c>
      <x:c r="C135" s="17" t="n">
        <x:v>1.5</x:v>
      </x:c>
      <x:c r="D135" s="17"/>
      <x:c r="E135" s="2" t="str"/>
      <x:c r="F135" s="17"/>
      <x:c r="G135" s="2" t="str"/>
    </x:row>
    <x:row r="136" ht="36" customHeight="1">
      <x:c r="A136" s="2" t="str">
        <x:v>TF PD2 New</x:v>
      </x:c>
      <x:c r="B136" s="9" t="str">
        <x:v>5th</x:v>
      </x:c>
      <x:c r="C136" s="17" t="n">
        <x:v>1.5</x:v>
      </x:c>
      <x:c r="D136" s="17"/>
      <x:c r="E136" s="2" t="str"/>
      <x:c r="F136" s="17"/>
      <x:c r="G136" s="2" t="str"/>
    </x:row>
    <x:row r="137" ht="36" customHeight="1">
      <x:c r="A137" s="2" t="str">
        <x:v>TF PD2 New</x:v>
      </x:c>
      <x:c r="B137" s="9" t="str">
        <x:v>6th</x:v>
      </x:c>
      <x:c r="C137" s="17" t="n">
        <x:v>1.5</x:v>
      </x:c>
      <x:c r="D137" s="17"/>
      <x:c r="E137" s="2" t="str"/>
      <x:c r="F137" s="17"/>
      <x:c r="G137" s="2" t="str"/>
    </x:row>
    <x:row r="138" ht="36" customHeight="1">
      <x:c r="A138" s="2" t="str">
        <x:v>TF PD2 New</x:v>
      </x:c>
      <x:c r="B138" s="9" t="str">
        <x:v>Rev A</x:v>
      </x:c>
      <x:c r="C138" s="17" t="n">
        <x:v>1.5</x:v>
      </x:c>
      <x:c r="D138" s="17"/>
      <x:c r="E138" s="2" t="str"/>
      <x:c r="F138" s="17"/>
      <x:c r="G138" s="2" t="str"/>
    </x:row>
    <x:row r="139" ht="36" customHeight="1">
      <x:c r="A139" s="2" t="str">
        <x:v>TF PD2 New</x:v>
      </x:c>
      <x:c r="B139" s="9" t="str">
        <x:v>Rev B</x:v>
      </x:c>
      <x:c r="C139" s="17" t="n">
        <x:v>1.5</x:v>
      </x:c>
      <x:c r="D139" s="17"/>
      <x:c r="E139" s="2" t="str"/>
      <x:c r="F139" s="17"/>
      <x:c r="G139" s="2" t="str"/>
    </x:row>
    <x:row r="140" ht="36" customHeight="1">
      <x:c r="A140" s="2" t="str">
        <x:v>TF PD2 New</x:v>
      </x:c>
      <x:c r="B140" s="9" t="str">
        <x:v>Rev C</x:v>
      </x:c>
      <x:c r="C140" s="17" t="n">
        <x:v>1.5</x:v>
      </x:c>
      <x:c r="D140" s="17"/>
      <x:c r="E140" s="2" t="str"/>
      <x:c r="F140" s="17"/>
      <x:c r="G140" s="2" t="str"/>
    </x:row>
    <x:row r="141" ht="36" customHeight="1">
      <x:c r="A141" s="2" t="str">
        <x:v>TF PD2 New</x:v>
      </x:c>
      <x:c r="B141" s="9" t="str">
        <x:v>Rev D</x:v>
      </x:c>
      <x:c r="C141" s="17" t="n">
        <x:v>1.5</x:v>
      </x:c>
      <x:c r="D141" s="17"/>
      <x:c r="E141" s="2" t="str"/>
      <x:c r="F141" s="17"/>
      <x:c r="G141" s="2" t="str"/>
    </x:row>
    <x:row r="142" ht="36" customHeight="1">
      <x:c r="A142" s="2" t="str">
        <x:v>TF PD3 L1</x:v>
      </x:c>
      <x:c r="B142" s="9" t="str">
        <x:v>1st A</x:v>
      </x:c>
      <x:c r="C142" s="17" t="n">
        <x:v>1.5</x:v>
      </x:c>
      <x:c r="D142" s="17"/>
      <x:c r="E142" s="2" t="str"/>
      <x:c r="F142" s="17"/>
      <x:c r="G142" s="2" t="str"/>
    </x:row>
    <x:row r="143" ht="36" customHeight="1">
      <x:c r="A143" s="2" t="str">
        <x:v>TF PD3 L1</x:v>
      </x:c>
      <x:c r="B143" s="9" t="str">
        <x:v>1st B</x:v>
      </x:c>
      <x:c r="C143" s="17" t="n">
        <x:v>1.5</x:v>
      </x:c>
      <x:c r="D143" s="17"/>
      <x:c r="E143" s="2" t="str"/>
      <x:c r="F143" s="17"/>
      <x:c r="G143" s="2" t="str"/>
    </x:row>
    <x:row r="144" ht="36" customHeight="1">
      <x:c r="A144" s="2" t="str">
        <x:v>TF PD3 L1</x:v>
      </x:c>
      <x:c r="B144" s="9" t="str">
        <x:v>1st C</x:v>
      </x:c>
      <x:c r="C144" s="17" t="n">
        <x:v>1.5</x:v>
      </x:c>
      <x:c r="D144" s="17"/>
      <x:c r="E144" s="2" t="str"/>
      <x:c r="F144" s="17"/>
      <x:c r="G144" s="2" t="str"/>
    </x:row>
    <x:row r="145" ht="36" customHeight="1">
      <x:c r="A145" s="2" t="str">
        <x:v>TF PD3 L1</x:v>
      </x:c>
      <x:c r="B145" s="9" t="str">
        <x:v>1st D</x:v>
      </x:c>
      <x:c r="C145" s="17" t="n">
        <x:v>1.5</x:v>
      </x:c>
      <x:c r="D145" s="17"/>
      <x:c r="E145" s="2" t="str"/>
      <x:c r="F145" s="17"/>
      <x:c r="G145" s="2" t="str"/>
    </x:row>
    <x:row r="146" ht="36" customHeight="1">
      <x:c r="A146" s="2" t="str">
        <x:v>TF PD3 L1</x:v>
      </x:c>
      <x:c r="B146" s="9" t="str">
        <x:v>2nd A</x:v>
      </x:c>
      <x:c r="C146" s="17" t="n">
        <x:v>1.5</x:v>
      </x:c>
      <x:c r="D146" s="17"/>
      <x:c r="E146" s="2" t="str"/>
      <x:c r="F146" s="17"/>
      <x:c r="G146" s="2" t="str"/>
    </x:row>
    <x:row r="147" ht="36" customHeight="1">
      <x:c r="A147" s="2" t="str">
        <x:v>TF PD3 L1</x:v>
      </x:c>
      <x:c r="B147" s="9" t="str">
        <x:v>2nd B</x:v>
      </x:c>
      <x:c r="C147" s="17" t="n">
        <x:v>1.5</x:v>
      </x:c>
      <x:c r="D147" s="17"/>
      <x:c r="E147" s="2" t="str"/>
      <x:c r="F147" s="17"/>
      <x:c r="G147" s="2" t="str"/>
    </x:row>
    <x:row r="148" ht="36" customHeight="1">
      <x:c r="A148" s="2" t="str">
        <x:v>TF PD3 L1</x:v>
      </x:c>
      <x:c r="B148" s="9" t="str">
        <x:v>3rd</x:v>
      </x:c>
      <x:c r="C148" s="17" t="n">
        <x:v>1.5</x:v>
      </x:c>
      <x:c r="D148" s="17"/>
      <x:c r="E148" s="2" t="str"/>
      <x:c r="F148" s="17"/>
      <x:c r="G148" s="2" t="str"/>
    </x:row>
    <x:row r="149" ht="36" customHeight="1">
      <x:c r="A149" s="2" t="str">
        <x:v>TF PD3 L1</x:v>
      </x:c>
      <x:c r="B149" s="9" t="str">
        <x:v>4th</x:v>
      </x:c>
      <x:c r="C149" s="17" t="n">
        <x:v>1.5</x:v>
      </x:c>
      <x:c r="D149" s="17"/>
      <x:c r="E149" s="2" t="str"/>
      <x:c r="F149" s="17"/>
      <x:c r="G149" s="2" t="str"/>
    </x:row>
    <x:row r="150" ht="36" customHeight="1">
      <x:c r="A150" s="2" t="str">
        <x:v>TF PD3 L1</x:v>
      </x:c>
      <x:c r="B150" s="9" t="str">
        <x:v>5th</x:v>
      </x:c>
      <x:c r="C150" s="17" t="n">
        <x:v>1.5</x:v>
      </x:c>
      <x:c r="D150" s="17"/>
      <x:c r="E150" s="2" t="str"/>
      <x:c r="F150" s="17"/>
      <x:c r="G150" s="2" t="str"/>
    </x:row>
    <x:row r="151" ht="36" customHeight="1">
      <x:c r="A151" s="2" t="str">
        <x:v>TF PD3 L1</x:v>
      </x:c>
      <x:c r="B151" s="9" t="str">
        <x:v>6th</x:v>
      </x:c>
      <x:c r="C151" s="17" t="n">
        <x:v>1.5</x:v>
      </x:c>
      <x:c r="D151" s="17"/>
      <x:c r="E151" s="2" t="str"/>
      <x:c r="F151" s="17"/>
      <x:c r="G151" s="2" t="str"/>
    </x:row>
    <x:row r="152" ht="36" customHeight="1">
      <x:c r="A152" s="2" t="str">
        <x:v>TF PD3 L1</x:v>
      </x:c>
      <x:c r="B152" s="9" t="str">
        <x:v>Rev A</x:v>
      </x:c>
      <x:c r="C152" s="17" t="n">
        <x:v>1.5</x:v>
      </x:c>
      <x:c r="D152" s="17"/>
      <x:c r="E152" s="2" t="str"/>
      <x:c r="F152" s="17"/>
      <x:c r="G152" s="2" t="str"/>
    </x:row>
    <x:row r="153" ht="36" customHeight="1">
      <x:c r="A153" s="2" t="str">
        <x:v>TF PD3 L1</x:v>
      </x:c>
      <x:c r="B153" s="9" t="str">
        <x:v>Rev B</x:v>
      </x:c>
      <x:c r="C153" s="17" t="n">
        <x:v>1.5</x:v>
      </x:c>
      <x:c r="D153" s="17"/>
      <x:c r="E153" s="2" t="str"/>
      <x:c r="F153" s="17"/>
      <x:c r="G153" s="2" t="str"/>
    </x:row>
    <x:row r="154" ht="36" customHeight="1">
      <x:c r="A154" s="2" t="str">
        <x:v>TF PD3 L1</x:v>
      </x:c>
      <x:c r="B154" s="9" t="str">
        <x:v>Rev C</x:v>
      </x:c>
      <x:c r="C154" s="17" t="n">
        <x:v>1.5</x:v>
      </x:c>
      <x:c r="D154" s="17"/>
      <x:c r="E154" s="2" t="str"/>
      <x:c r="F154" s="17"/>
      <x:c r="G154" s="2" t="str"/>
    </x:row>
    <x:row r="155" ht="36" customHeight="1">
      <x:c r="A155" s="2" t="str">
        <x:v>TF PD3 L1</x:v>
      </x:c>
      <x:c r="B155" s="9" t="str">
        <x:v>Rev D</x:v>
      </x:c>
      <x:c r="C155" s="17" t="n">
        <x:v>1.5</x:v>
      </x:c>
      <x:c r="D155" s="17"/>
      <x:c r="E155" s="2" t="str"/>
      <x:c r="F155" s="17"/>
      <x:c r="G155" s="2" t="str"/>
    </x:row>
    <x:row r="156" ht="36" customHeight="1">
      <x:c r="A156" s="2" t="str">
        <x:v>TF PD3 L2</x:v>
      </x:c>
      <x:c r="B156" s="9" t="str">
        <x:v>1st A</x:v>
      </x:c>
      <x:c r="C156" s="17" t="n">
        <x:v>1.5</x:v>
      </x:c>
      <x:c r="D156" s="17"/>
      <x:c r="E156" s="2" t="str"/>
      <x:c r="F156" s="17"/>
      <x:c r="G156" s="2" t="str"/>
    </x:row>
    <x:row r="157" ht="36" customHeight="1">
      <x:c r="A157" s="2" t="str">
        <x:v>TF PD3 L2</x:v>
      </x:c>
      <x:c r="B157" s="9" t="str">
        <x:v>1st B</x:v>
      </x:c>
      <x:c r="C157" s="17" t="n">
        <x:v>1.5</x:v>
      </x:c>
      <x:c r="D157" s="17"/>
      <x:c r="E157" s="2" t="str"/>
      <x:c r="F157" s="17"/>
      <x:c r="G157" s="2" t="str"/>
    </x:row>
    <x:row r="158" ht="36" customHeight="1">
      <x:c r="A158" s="2" t="str">
        <x:v>TF PD3 L2</x:v>
      </x:c>
      <x:c r="B158" s="9" t="str">
        <x:v>1st C</x:v>
      </x:c>
      <x:c r="C158" s="17" t="n">
        <x:v>1.5</x:v>
      </x:c>
      <x:c r="D158" s="17"/>
      <x:c r="E158" s="2" t="str"/>
      <x:c r="F158" s="17"/>
      <x:c r="G158" s="2" t="str"/>
    </x:row>
    <x:row r="159" ht="36" customHeight="1">
      <x:c r="A159" s="2" t="str">
        <x:v>TF PD3 L2</x:v>
      </x:c>
      <x:c r="B159" s="9" t="str">
        <x:v>1st D</x:v>
      </x:c>
      <x:c r="C159" s="17" t="n">
        <x:v>1.5</x:v>
      </x:c>
      <x:c r="D159" s="17"/>
      <x:c r="E159" s="2" t="str"/>
      <x:c r="F159" s="17"/>
      <x:c r="G159" s="2" t="str"/>
    </x:row>
    <x:row r="160" ht="36" customHeight="1">
      <x:c r="A160" s="2" t="str">
        <x:v>TF PD3 L2</x:v>
      </x:c>
      <x:c r="B160" s="9" t="str">
        <x:v>2nd A</x:v>
      </x:c>
      <x:c r="C160" s="17" t="n">
        <x:v>1.5</x:v>
      </x:c>
      <x:c r="D160" s="17"/>
      <x:c r="E160" s="2" t="str"/>
      <x:c r="F160" s="17"/>
      <x:c r="G160" s="2" t="str"/>
    </x:row>
    <x:row r="161" ht="36" customHeight="1">
      <x:c r="A161" s="2" t="str">
        <x:v>TF PD3 L2</x:v>
      </x:c>
      <x:c r="B161" s="9" t="str">
        <x:v>2nd B</x:v>
      </x:c>
      <x:c r="C161" s="17" t="n">
        <x:v>1.5</x:v>
      </x:c>
      <x:c r="D161" s="17"/>
      <x:c r="E161" s="2" t="str"/>
      <x:c r="F161" s="17"/>
      <x:c r="G161" s="2" t="str"/>
    </x:row>
    <x:row r="162" ht="36" customHeight="1">
      <x:c r="A162" s="2" t="str">
        <x:v>TF PD3 L2</x:v>
      </x:c>
      <x:c r="B162" s="9" t="str">
        <x:v>3rd</x:v>
      </x:c>
      <x:c r="C162" s="17" t="n">
        <x:v>1.5</x:v>
      </x:c>
      <x:c r="D162" s="17"/>
      <x:c r="E162" s="2" t="str"/>
      <x:c r="F162" s="17"/>
      <x:c r="G162" s="2" t="str"/>
    </x:row>
    <x:row r="163" ht="36" customHeight="1">
      <x:c r="A163" s="2" t="str">
        <x:v>TF PD3 L2</x:v>
      </x:c>
      <x:c r="B163" s="9" t="str">
        <x:v>4th</x:v>
      </x:c>
      <x:c r="C163" s="17" t="n">
        <x:v>1.5</x:v>
      </x:c>
      <x:c r="D163" s="17"/>
      <x:c r="E163" s="2" t="str"/>
      <x:c r="F163" s="17"/>
      <x:c r="G163" s="2" t="str"/>
    </x:row>
    <x:row r="164" ht="36" customHeight="1">
      <x:c r="A164" s="2" t="str">
        <x:v>TF PD3 L2</x:v>
      </x:c>
      <x:c r="B164" s="9" t="str">
        <x:v>5th</x:v>
      </x:c>
      <x:c r="C164" s="17" t="n">
        <x:v>1.5</x:v>
      </x:c>
      <x:c r="D164" s="17"/>
      <x:c r="E164" s="2" t="str"/>
      <x:c r="F164" s="17"/>
      <x:c r="G164" s="2" t="str"/>
    </x:row>
    <x:row r="165" ht="36" customHeight="1">
      <x:c r="A165" s="2" t="str">
        <x:v>TF PD3 L2</x:v>
      </x:c>
      <x:c r="B165" s="9" t="str">
        <x:v>6th</x:v>
      </x:c>
      <x:c r="C165" s="17" t="n">
        <x:v>1.5</x:v>
      </x:c>
      <x:c r="D165" s="17"/>
      <x:c r="E165" s="2" t="str"/>
      <x:c r="F165" s="17"/>
      <x:c r="G165" s="2" t="str"/>
    </x:row>
    <x:row r="166" ht="36" customHeight="1">
      <x:c r="A166" s="2" t="str">
        <x:v>TF PD3 L2</x:v>
      </x:c>
      <x:c r="B166" s="9" t="str">
        <x:v>Rev A</x:v>
      </x:c>
      <x:c r="C166" s="17" t="n">
        <x:v>1.5</x:v>
      </x:c>
      <x:c r="D166" s="17"/>
      <x:c r="E166" s="2" t="str"/>
      <x:c r="F166" s="17"/>
      <x:c r="G166" s="2" t="str"/>
    </x:row>
    <x:row r="167" ht="36" customHeight="1">
      <x:c r="A167" s="2" t="str">
        <x:v>TF PD3 L2</x:v>
      </x:c>
      <x:c r="B167" s="9" t="str">
        <x:v>Rev B</x:v>
      </x:c>
      <x:c r="C167" s="17" t="n">
        <x:v>1.5</x:v>
      </x:c>
      <x:c r="D167" s="17"/>
      <x:c r="E167" s="2" t="str"/>
      <x:c r="F167" s="17"/>
      <x:c r="G167" s="2" t="str"/>
    </x:row>
    <x:row r="168" ht="36" customHeight="1">
      <x:c r="A168" s="2" t="str">
        <x:v>TF PD3 L2</x:v>
      </x:c>
      <x:c r="B168" s="9" t="str">
        <x:v>Rev C</x:v>
      </x:c>
      <x:c r="C168" s="17" t="n">
        <x:v>1.5</x:v>
      </x:c>
      <x:c r="D168" s="17"/>
      <x:c r="E168" s="2" t="str"/>
      <x:c r="F168" s="17"/>
      <x:c r="G168" s="2" t="str"/>
    </x:row>
    <x:row r="169" ht="36" customHeight="1">
      <x:c r="A169" s="2" t="str">
        <x:v>TF PD3 L2</x:v>
      </x:c>
      <x:c r="B169" s="9" t="str">
        <x:v>Rev D</x:v>
      </x:c>
      <x:c r="C169" s="17" t="n">
        <x:v>1.5</x:v>
      </x:c>
      <x:c r="D169" s="17"/>
      <x:c r="E169" s="2" t="str"/>
      <x:c r="F169" s="17"/>
      <x:c r="G169" s="2" t="str"/>
    </x:row>
    <x:row r="170" ht="36" customHeight="1">
      <x:c r="A170" s="2" t="str">
        <x:v>TF PD3 L3</x:v>
      </x:c>
      <x:c r="B170" s="9" t="str">
        <x:v>1st A</x:v>
      </x:c>
      <x:c r="C170" s="17" t="n">
        <x:v>1.5</x:v>
      </x:c>
      <x:c r="D170" s="17"/>
      <x:c r="E170" s="2" t="str"/>
      <x:c r="F170" s="17"/>
      <x:c r="G170" s="2" t="str"/>
    </x:row>
    <x:row r="171" ht="36" customHeight="1">
      <x:c r="A171" s="2" t="str">
        <x:v>TF PD3 L3</x:v>
      </x:c>
      <x:c r="B171" s="9" t="str">
        <x:v>1st B</x:v>
      </x:c>
      <x:c r="C171" s="17" t="n">
        <x:v>1.5</x:v>
      </x:c>
      <x:c r="D171" s="17"/>
      <x:c r="E171" s="2" t="str"/>
      <x:c r="F171" s="17"/>
      <x:c r="G171" s="2" t="str"/>
    </x:row>
    <x:row r="172" ht="36" customHeight="1">
      <x:c r="A172" s="2" t="str">
        <x:v>TF PD3 L3</x:v>
      </x:c>
      <x:c r="B172" s="9" t="str">
        <x:v>1st C</x:v>
      </x:c>
      <x:c r="C172" s="17" t="n">
        <x:v>1.5</x:v>
      </x:c>
      <x:c r="D172" s="17"/>
      <x:c r="E172" s="2" t="str"/>
      <x:c r="F172" s="17"/>
      <x:c r="G172" s="2" t="str"/>
    </x:row>
    <x:row r="173" ht="36" customHeight="1">
      <x:c r="A173" s="2" t="str">
        <x:v>TF PD3 L3</x:v>
      </x:c>
      <x:c r="B173" s="9" t="str">
        <x:v>2nd</x:v>
      </x:c>
      <x:c r="C173" s="17" t="n">
        <x:v>1.5</x:v>
      </x:c>
      <x:c r="D173" s="17"/>
      <x:c r="E173" s="2" t="str"/>
      <x:c r="F173" s="17"/>
      <x:c r="G173" s="2" t="str"/>
    </x:row>
    <x:row r="174" ht="36" customHeight="1">
      <x:c r="A174" s="2" t="str">
        <x:v>TF PD3 L3</x:v>
      </x:c>
      <x:c r="B174" s="9" t="str">
        <x:v>3rd</x:v>
      </x:c>
      <x:c r="C174" s="17" t="n">
        <x:v>1.5</x:v>
      </x:c>
      <x:c r="D174" s="17"/>
      <x:c r="E174" s="2" t="str"/>
      <x:c r="F174" s="17"/>
      <x:c r="G174" s="2" t="str"/>
    </x:row>
    <x:row r="175" ht="36" customHeight="1">
      <x:c r="A175" s="2" t="str">
        <x:v>TF PD3 L3</x:v>
      </x:c>
      <x:c r="B175" s="9" t="str">
        <x:v>4th</x:v>
      </x:c>
      <x:c r="C175" s="17" t="n">
        <x:v>1.5</x:v>
      </x:c>
      <x:c r="D175" s="17"/>
      <x:c r="E175" s="2" t="str"/>
      <x:c r="F175" s="17"/>
      <x:c r="G175" s="2" t="str"/>
    </x:row>
    <x:row r="176" ht="36" customHeight="1">
      <x:c r="A176" s="2" t="str">
        <x:v>TF PD3 L3</x:v>
      </x:c>
      <x:c r="B176" s="9" t="str">
        <x:v>5th</x:v>
      </x:c>
      <x:c r="C176" s="17" t="n">
        <x:v>1.5</x:v>
      </x:c>
      <x:c r="D176" s="17"/>
      <x:c r="E176" s="2" t="str"/>
      <x:c r="F176" s="17"/>
      <x:c r="G176" s="2" t="str"/>
    </x:row>
    <x:row r="177" ht="36" customHeight="1">
      <x:c r="A177" s="2" t="str">
        <x:v>TF PD3 L3</x:v>
      </x:c>
      <x:c r="B177" s="9" t="str">
        <x:v>6th</x:v>
      </x:c>
      <x:c r="C177" s="17" t="n">
        <x:v>1.5</x:v>
      </x:c>
      <x:c r="D177" s="17"/>
      <x:c r="E177" s="2" t="str"/>
      <x:c r="F177" s="17"/>
      <x:c r="G177" s="2" t="str"/>
    </x:row>
    <x:row r="178" ht="36" customHeight="1">
      <x:c r="A178" s="2" t="str">
        <x:v>TF PD3 L3</x:v>
      </x:c>
      <x:c r="B178" s="9" t="str">
        <x:v>7th</x:v>
      </x:c>
      <x:c r="C178" s="17" t="n">
        <x:v>1.5</x:v>
      </x:c>
      <x:c r="D178" s="17"/>
      <x:c r="E178" s="2" t="str"/>
      <x:c r="F178" s="17"/>
      <x:c r="G178" s="2" t="str"/>
    </x:row>
    <x:row r="179" ht="36" customHeight="1">
      <x:c r="A179" s="2" t="str">
        <x:v>TF PD3 L3</x:v>
      </x:c>
      <x:c r="B179" s="9" t="str">
        <x:v>Rev A</x:v>
      </x:c>
      <x:c r="C179" s="17" t="n">
        <x:v>1.5</x:v>
      </x:c>
      <x:c r="D179" s="17"/>
      <x:c r="E179" s="2" t="str"/>
      <x:c r="F179" s="17"/>
      <x:c r="G179" s="2" t="str"/>
    </x:row>
    <x:row r="180" ht="36" customHeight="1">
      <x:c r="A180" s="2" t="str">
        <x:v>TF PD3 L3</x:v>
      </x:c>
      <x:c r="B180" s="9" t="str">
        <x:v>Rev B</x:v>
      </x:c>
      <x:c r="C180" s="17" t="n">
        <x:v>1.5</x:v>
      </x:c>
      <x:c r="D180" s="17"/>
      <x:c r="E180" s="2" t="str"/>
      <x:c r="F180" s="17"/>
      <x:c r="G180" s="2" t="str"/>
    </x:row>
    <x:row r="181" ht="36" customHeight="1">
      <x:c r="A181" s="2" t="str">
        <x:v>TF PD3 L3</x:v>
      </x:c>
      <x:c r="B181" s="9" t="str">
        <x:v>Rev C</x:v>
      </x:c>
      <x:c r="C181" s="17" t="n">
        <x:v>1.5</x:v>
      </x:c>
      <x:c r="D181" s="17"/>
      <x:c r="E181" s="2" t="str"/>
      <x:c r="F181" s="17"/>
      <x:c r="G181" s="2" t="str"/>
    </x:row>
    <x:row r="182" ht="36" customHeight="1">
      <x:c r="A182" s="2" t="str">
        <x:v>Monthly bark</x:v>
      </x:c>
      <x:c r="B182" s="9" t="str">
        <x:v>Bark on chip · AE · Bark (%)</x:v>
      </x:c>
      <x:c r="C182" s="17"/>
      <x:c r="D182" s="17"/>
      <x:c r="E182" s="2" t="str"/>
      <x:c r="F182" s="17"/>
      <x:c r="G182" s="2" t="str"/>
    </x:row>
    <x:row r="183" ht="36" customHeight="1">
      <x:c r="A183" s="2" t="str">
        <x:v>Monthly bark</x:v>
      </x:c>
      <x:c r="B183" s="9" t="str">
        <x:v>Bark on chip · Lyocell · Bark (%)</x:v>
      </x:c>
      <x:c r="C183" s="17"/>
      <x:c r="D183" s="17"/>
      <x:c r="E183" s="2" t="str"/>
      <x:c r="F183" s="17"/>
      <x:c r="G183" s="2" t="str"/>
    </x:row>
  </x:sheetData>
  <x:pageMargins left="0.7" right="0.7" top="0.75" bottom="0.75" header="0.3" footer="0.3"/>
  <x:tableParts count="1">
    <x:tablePart xmlns:r="http://schemas.openxmlformats.org/officeDocument/2006/relationships" r:id="R845912b8b9984d77"/>
  </x:tableParts>
</x:worksheet>
</file>